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DYCOH\Downloads\"/>
    </mc:Choice>
  </mc:AlternateContent>
  <workbookProtection workbookAlgorithmName="SHA-512" workbookHashValue="LV6Zgnkev2dogWsbrRNoAa1wKRrX/O/QfLNPJB06l9p2Z5qZEtyc0kgUSqQu8fybWzprfq6v3SteNrL74d4ZEw==" workbookSaltValue="9AzQ8r0aVQr/bEWLZrGR9Q==" workbookSpinCount="100000" lockStructure="1"/>
  <bookViews>
    <workbookView xWindow="0" yWindow="0" windowWidth="20490" windowHeight="7620" tabRatio="916" firstSheet="35" activeTab="39"/>
  </bookViews>
  <sheets>
    <sheet name="RELIABILITY SNAP SHOT" sheetId="20" state="hidden" r:id="rId1"/>
    <sheet name="EXECUTIVE SUMMARY1" sheetId="24" state="hidden" r:id="rId2"/>
    <sheet name="EXECUTIVE SUMMARY" sheetId="59" r:id="rId3"/>
    <sheet name="AVAILABILITY SNAP SHOT " sheetId="22" r:id="rId4"/>
    <sheet name="AVAILABILITY DASHBOARD" sheetId="1" r:id="rId5"/>
    <sheet name="Sheet31" sheetId="61" state="hidden" r:id="rId6"/>
    <sheet name="Sheet30" sheetId="60" state="hidden" r:id="rId7"/>
    <sheet name="Sheet1" sheetId="28" state="hidden" r:id="rId8"/>
    <sheet name="Sheet21" sheetId="50" state="hidden" r:id="rId9"/>
    <sheet name="Sheet22" sheetId="51" state="hidden" r:id="rId10"/>
    <sheet name="Sheet23" sheetId="52" state="hidden" r:id="rId11"/>
    <sheet name="Sheet24" sheetId="53" state="hidden" r:id="rId12"/>
    <sheet name="Sheet25" sheetId="54" state="hidden" r:id="rId13"/>
    <sheet name="Sheet26" sheetId="55" state="hidden" r:id="rId14"/>
    <sheet name="Sheet19" sheetId="48" state="hidden" r:id="rId15"/>
    <sheet name="Sheet20" sheetId="49" state="hidden" r:id="rId16"/>
    <sheet name="Sheet14" sheetId="43" state="hidden" r:id="rId17"/>
    <sheet name="Sheet6" sheetId="35" state="hidden" r:id="rId18"/>
    <sheet name="Sheet15" sheetId="44" state="hidden" r:id="rId19"/>
    <sheet name="Sheet4" sheetId="33" state="hidden" r:id="rId20"/>
    <sheet name="Sheet13" sheetId="42" state="hidden" r:id="rId21"/>
    <sheet name="Sheet11" sheetId="40" state="hidden" r:id="rId22"/>
    <sheet name="Sheet9" sheetId="38" state="hidden" r:id="rId23"/>
    <sheet name="Sheet2" sheetId="31" state="hidden" r:id="rId24"/>
    <sheet name="Sheet29" sheetId="58" state="hidden" r:id="rId25"/>
    <sheet name="Sheet3" sheetId="32" state="hidden" r:id="rId26"/>
    <sheet name="Sheet32" sheetId="63" state="hidden" r:id="rId27"/>
    <sheet name="Sheet28" sheetId="57" state="hidden" r:id="rId28"/>
    <sheet name="Sheet16" sheetId="45" state="hidden" r:id="rId29"/>
    <sheet name="Sheet10" sheetId="39" state="hidden" r:id="rId30"/>
    <sheet name="Sheet7" sheetId="36" state="hidden" r:id="rId31"/>
    <sheet name="Sheet8" sheetId="37" state="hidden" r:id="rId32"/>
    <sheet name="Sheet17" sheetId="46" state="hidden" r:id="rId33"/>
    <sheet name="Sheet12" sheetId="41" state="hidden" r:id="rId34"/>
    <sheet name="STS RMG FAULTS" sheetId="16" r:id="rId35"/>
    <sheet name="RTG&amp;HARBOUR FAULTS" sheetId="12" r:id="rId36"/>
    <sheet name="CONTAINER HANDLERS FAULTS" sheetId="18" r:id="rId37"/>
    <sheet name="TERMINAL TRACTORS" sheetId="30" r:id="rId38"/>
    <sheet name="BERTH OCCUPANCY" sheetId="9" r:id="rId39"/>
    <sheet name="OTHER REPORTS" sheetId="19" r:id="rId40"/>
    <sheet name="Sheet34" sheetId="65" state="hidden" r:id="rId41"/>
    <sheet name="DAILY MORNING BRIEFING" sheetId="62" r:id="rId42"/>
    <sheet name="Sheet33" sheetId="64" state="hidden" r:id="rId43"/>
    <sheet name="Sheet27" sheetId="56" state="hidden" r:id="rId44"/>
    <sheet name="Sheet18" sheetId="47" state="hidden" r:id="rId45"/>
    <sheet name="Sheet5" sheetId="34" state="hidden" r:id="rId46"/>
    <sheet name="SHIFT HANDOVER" sheetId="23" state="hidden" r:id="rId47"/>
  </sheets>
  <definedNames>
    <definedName name="_xlnm._FilterDatabase" localSheetId="39" hidden="1">'OTHER REPORTS'!$E$42:$M$54</definedName>
    <definedName name="_GoBack" localSheetId="4">'AVAILABILITY DASHBOARD'!#REF!</definedName>
    <definedName name="AA">'CONTAINER HANDLERS FAULTS'!$FDV$1</definedName>
    <definedName name="_xlnm.Print_Area" localSheetId="4">'AVAILABILITY DASHBOARD'!$A$1:$Z$294</definedName>
    <definedName name="_xlnm.Print_Area" localSheetId="3">'AVAILABILITY SNAP SHOT '!$A$2:$F$10</definedName>
    <definedName name="_xlnm.Print_Area" localSheetId="39">'OTHER REPORTS'!$A$1:$M$54</definedName>
    <definedName name="_xlnm.Print_Area" localSheetId="0">'RELIABILITY SNAP SHOT'!$A$2:$I$17</definedName>
    <definedName name="_xlnm.Print_Area" localSheetId="35">'RTG&amp;HARBOUR FAULTS'!$A$1:$O$74</definedName>
    <definedName name="_xlnm.Print_Area" localSheetId="34">'STS RMG FAULTS'!$A$1:$S$39</definedName>
    <definedName name="_xlnm.Print_Area" localSheetId="37">'TERMINAL TRACTORS'!$A$1:$M$133</definedName>
    <definedName name="_xlnm.Print_Titles" localSheetId="35">'RTG&amp;HARBOUR FAULTS'!$1:$9</definedName>
    <definedName name="_xlnm.Print_Titles" localSheetId="37">'TERMINAL TRACTORS'!$1:$8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11" i="30" l="1"/>
  <c r="N97" i="30"/>
  <c r="E258" i="1"/>
  <c r="S261" i="1"/>
  <c r="S260" i="1"/>
  <c r="S259" i="1"/>
  <c r="S258" i="1"/>
  <c r="N129" i="30"/>
  <c r="M261" i="1" s="1"/>
  <c r="O261" i="1" s="1"/>
  <c r="N128" i="30"/>
  <c r="M260" i="1" s="1"/>
  <c r="O260" i="1" s="1"/>
  <c r="N127" i="30"/>
  <c r="M259" i="1" s="1"/>
  <c r="N126" i="30"/>
  <c r="M258" i="1" s="1"/>
  <c r="M129" i="30"/>
  <c r="H261" i="1" s="1"/>
  <c r="M128" i="30"/>
  <c r="H260" i="1" s="1"/>
  <c r="M127" i="30"/>
  <c r="H259" i="1" s="1"/>
  <c r="I259" i="1" s="1"/>
  <c r="M126" i="30"/>
  <c r="H258" i="1" s="1"/>
  <c r="I258" i="1" s="1"/>
  <c r="G130" i="30"/>
  <c r="C130" i="30"/>
  <c r="L261" i="1"/>
  <c r="L260" i="1"/>
  <c r="S91" i="1"/>
  <c r="S89" i="1"/>
  <c r="S88" i="1"/>
  <c r="S90" i="1"/>
  <c r="K258" i="1" l="1"/>
  <c r="O258" i="1" s="1"/>
  <c r="J258" i="1"/>
  <c r="K259" i="1"/>
  <c r="O259" i="1" s="1"/>
  <c r="J259" i="1"/>
  <c r="N260" i="1"/>
  <c r="N261" i="1"/>
  <c r="H25" i="16"/>
  <c r="E275" i="1"/>
  <c r="B3" i="16"/>
  <c r="N259" i="1" l="1"/>
  <c r="L259" i="1"/>
  <c r="N258" i="1"/>
  <c r="L258" i="1"/>
  <c r="S87" i="1"/>
  <c r="L91" i="1"/>
  <c r="M91" i="1"/>
  <c r="N91" i="1" s="1"/>
  <c r="L87" i="1"/>
  <c r="N67" i="12"/>
  <c r="N68" i="12"/>
  <c r="N69" i="12"/>
  <c r="H91" i="1" s="1"/>
  <c r="O69" i="12"/>
  <c r="O65" i="12"/>
  <c r="M87" i="1" s="1"/>
  <c r="O87" i="1" s="1"/>
  <c r="N65" i="12"/>
  <c r="H87" i="1" s="1"/>
  <c r="P258" i="1" l="1"/>
  <c r="O91" i="1"/>
  <c r="N87" i="1"/>
  <c r="S92" i="1" l="1"/>
  <c r="S86" i="1"/>
  <c r="S85" i="1"/>
  <c r="O70" i="12"/>
  <c r="O68" i="12"/>
  <c r="O67" i="12"/>
  <c r="N70" i="12"/>
  <c r="H92" i="1" s="1"/>
  <c r="H89" i="1"/>
  <c r="H90" i="1"/>
  <c r="L89" i="1"/>
  <c r="M89" i="1"/>
  <c r="N89" i="1" s="1"/>
  <c r="L90" i="1"/>
  <c r="M90" i="1"/>
  <c r="N90" i="1" s="1"/>
  <c r="L92" i="1"/>
  <c r="M92" i="1"/>
  <c r="N92" i="1" s="1"/>
  <c r="S84" i="1"/>
  <c r="S83" i="1"/>
  <c r="L84" i="1"/>
  <c r="L85" i="1"/>
  <c r="L86" i="1"/>
  <c r="L88" i="1"/>
  <c r="O62" i="12"/>
  <c r="M84" i="1" s="1"/>
  <c r="O63" i="12"/>
  <c r="M85" i="1" s="1"/>
  <c r="N85" i="1" s="1"/>
  <c r="O64" i="12"/>
  <c r="M86" i="1" s="1"/>
  <c r="O66" i="12"/>
  <c r="M88" i="1" s="1"/>
  <c r="N88" i="1" s="1"/>
  <c r="N62" i="12"/>
  <c r="H84" i="1" s="1"/>
  <c r="N63" i="12"/>
  <c r="H85" i="1" s="1"/>
  <c r="N64" i="12"/>
  <c r="H86" i="1" s="1"/>
  <c r="N66" i="12"/>
  <c r="H88" i="1" s="1"/>
  <c r="M11" i="30"/>
  <c r="O92" i="1" l="1"/>
  <c r="O89" i="1"/>
  <c r="O90" i="1"/>
  <c r="N86" i="1"/>
  <c r="O86" i="1"/>
  <c r="N84" i="1"/>
  <c r="O84" i="1"/>
  <c r="O85" i="1"/>
  <c r="O88" i="1"/>
  <c r="F5" i="12"/>
  <c r="B3" i="12"/>
  <c r="C71" i="12" l="1"/>
  <c r="N15" i="30"/>
  <c r="M147" i="1" s="1"/>
  <c r="K125" i="30" l="1"/>
  <c r="C125" i="30"/>
  <c r="D10" i="62" s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N105" i="30"/>
  <c r="M237" i="1" s="1"/>
  <c r="B224" i="65" s="1"/>
  <c r="N106" i="30"/>
  <c r="M238" i="1" s="1"/>
  <c r="B225" i="65" s="1"/>
  <c r="N107" i="30"/>
  <c r="M239" i="1" s="1"/>
  <c r="B226" i="65" s="1"/>
  <c r="N108" i="30"/>
  <c r="M240" i="1" s="1"/>
  <c r="B227" i="65" s="1"/>
  <c r="N109" i="30"/>
  <c r="M241" i="1" s="1"/>
  <c r="B228" i="65" s="1"/>
  <c r="N110" i="30"/>
  <c r="M242" i="1" s="1"/>
  <c r="B229" i="65" s="1"/>
  <c r="N111" i="30"/>
  <c r="M243" i="1" s="1"/>
  <c r="B230" i="65" s="1"/>
  <c r="N112" i="30"/>
  <c r="M244" i="1" s="1"/>
  <c r="B231" i="65" s="1"/>
  <c r="N113" i="30"/>
  <c r="M245" i="1" s="1"/>
  <c r="B232" i="65" s="1"/>
  <c r="N114" i="30"/>
  <c r="M246" i="1" s="1"/>
  <c r="B233" i="65" s="1"/>
  <c r="N115" i="30"/>
  <c r="M247" i="1" s="1"/>
  <c r="B234" i="65" s="1"/>
  <c r="N116" i="30"/>
  <c r="M248" i="1" s="1"/>
  <c r="B235" i="65" s="1"/>
  <c r="N117" i="30"/>
  <c r="M249" i="1" s="1"/>
  <c r="B236" i="65" s="1"/>
  <c r="N118" i="30"/>
  <c r="M250" i="1" s="1"/>
  <c r="B237" i="65" s="1"/>
  <c r="N119" i="30"/>
  <c r="M251" i="1" s="1"/>
  <c r="B238" i="65" s="1"/>
  <c r="N120" i="30"/>
  <c r="M252" i="1" s="1"/>
  <c r="B239" i="65" s="1"/>
  <c r="N121" i="30"/>
  <c r="M253" i="1" s="1"/>
  <c r="B240" i="65" s="1"/>
  <c r="N122" i="30"/>
  <c r="M254" i="1" s="1"/>
  <c r="B241" i="65" s="1"/>
  <c r="N123" i="30"/>
  <c r="M255" i="1" s="1"/>
  <c r="B242" i="65" s="1"/>
  <c r="N124" i="30"/>
  <c r="M256" i="1" s="1"/>
  <c r="B243" i="65" s="1"/>
  <c r="M115" i="30"/>
  <c r="H247" i="1" s="1"/>
  <c r="G247" i="1" s="1"/>
  <c r="M124" i="30"/>
  <c r="H256" i="1" s="1"/>
  <c r="G256" i="1" s="1"/>
  <c r="M123" i="30"/>
  <c r="H255" i="1" s="1"/>
  <c r="I255" i="1" s="1"/>
  <c r="M122" i="30"/>
  <c r="H254" i="1" s="1"/>
  <c r="I254" i="1" s="1"/>
  <c r="M121" i="30"/>
  <c r="H253" i="1" s="1"/>
  <c r="G253" i="1" s="1"/>
  <c r="M120" i="30"/>
  <c r="H252" i="1" s="1"/>
  <c r="G252" i="1" s="1"/>
  <c r="M119" i="30"/>
  <c r="H251" i="1" s="1"/>
  <c r="I251" i="1" s="1"/>
  <c r="M118" i="30"/>
  <c r="H250" i="1" s="1"/>
  <c r="I250" i="1" s="1"/>
  <c r="M117" i="30"/>
  <c r="H249" i="1" s="1"/>
  <c r="I249" i="1" s="1"/>
  <c r="M116" i="30"/>
  <c r="H248" i="1" s="1"/>
  <c r="G248" i="1" s="1"/>
  <c r="M114" i="30"/>
  <c r="H246" i="1" s="1"/>
  <c r="I246" i="1" s="1"/>
  <c r="M113" i="30"/>
  <c r="H245" i="1" s="1"/>
  <c r="I245" i="1" s="1"/>
  <c r="M112" i="30"/>
  <c r="H244" i="1" s="1"/>
  <c r="G244" i="1" s="1"/>
  <c r="M111" i="30"/>
  <c r="H243" i="1" s="1"/>
  <c r="I243" i="1" s="1"/>
  <c r="J243" i="1" s="1"/>
  <c r="M110" i="30"/>
  <c r="H242" i="1" s="1"/>
  <c r="I242" i="1" s="1"/>
  <c r="M109" i="30"/>
  <c r="H241" i="1" s="1"/>
  <c r="G241" i="1" s="1"/>
  <c r="M108" i="30"/>
  <c r="H240" i="1" s="1"/>
  <c r="G240" i="1" s="1"/>
  <c r="M107" i="30"/>
  <c r="H239" i="1" s="1"/>
  <c r="I239" i="1" s="1"/>
  <c r="M106" i="30"/>
  <c r="H238" i="1" s="1"/>
  <c r="I238" i="1" s="1"/>
  <c r="M105" i="30"/>
  <c r="H237" i="1" s="1"/>
  <c r="G237" i="1" s="1"/>
  <c r="G125" i="30"/>
  <c r="E10" i="62" s="1"/>
  <c r="S69" i="1"/>
  <c r="S68" i="1"/>
  <c r="T290" i="1"/>
  <c r="T291" i="1"/>
  <c r="T292" i="1"/>
  <c r="F10" i="62" l="1"/>
  <c r="K130" i="30"/>
  <c r="G250" i="1"/>
  <c r="G249" i="1"/>
  <c r="G239" i="1"/>
  <c r="G238" i="1"/>
  <c r="G255" i="1"/>
  <c r="G246" i="1"/>
  <c r="G254" i="1"/>
  <c r="G245" i="1"/>
  <c r="G251" i="1"/>
  <c r="G243" i="1"/>
  <c r="G242" i="1"/>
  <c r="C226" i="65"/>
  <c r="D226" i="65" s="1"/>
  <c r="E226" i="65" s="1"/>
  <c r="C230" i="65"/>
  <c r="D230" i="65" s="1"/>
  <c r="E230" i="65" s="1"/>
  <c r="C242" i="65"/>
  <c r="D242" i="65" s="1"/>
  <c r="E242" i="65" s="1"/>
  <c r="C225" i="65"/>
  <c r="D225" i="65" s="1"/>
  <c r="E225" i="65" s="1"/>
  <c r="C236" i="65"/>
  <c r="D236" i="65" s="1"/>
  <c r="E236" i="65" s="1"/>
  <c r="I237" i="1"/>
  <c r="J237" i="1" s="1"/>
  <c r="C224" i="65"/>
  <c r="D224" i="65" s="1"/>
  <c r="E224" i="65" s="1"/>
  <c r="I241" i="1"/>
  <c r="K241" i="1" s="1"/>
  <c r="O241" i="1" s="1"/>
  <c r="C228" i="65"/>
  <c r="D228" i="65" s="1"/>
  <c r="E228" i="65" s="1"/>
  <c r="C232" i="65"/>
  <c r="D232" i="65" s="1"/>
  <c r="E232" i="65" s="1"/>
  <c r="C241" i="65"/>
  <c r="D241" i="65" s="1"/>
  <c r="E241" i="65" s="1"/>
  <c r="I240" i="1"/>
  <c r="J240" i="1" s="1"/>
  <c r="C227" i="65"/>
  <c r="D227" i="65" s="1"/>
  <c r="E227" i="65" s="1"/>
  <c r="I244" i="1"/>
  <c r="J244" i="1" s="1"/>
  <c r="C231" i="65"/>
  <c r="D231" i="65" s="1"/>
  <c r="E231" i="65" s="1"/>
  <c r="I253" i="1"/>
  <c r="K253" i="1" s="1"/>
  <c r="O253" i="1" s="1"/>
  <c r="C240" i="65"/>
  <c r="D240" i="65" s="1"/>
  <c r="E240" i="65" s="1"/>
  <c r="I247" i="1"/>
  <c r="K247" i="1" s="1"/>
  <c r="O247" i="1" s="1"/>
  <c r="C234" i="65"/>
  <c r="D234" i="65" s="1"/>
  <c r="E234" i="65" s="1"/>
  <c r="C237" i="65"/>
  <c r="D237" i="65" s="1"/>
  <c r="E237" i="65" s="1"/>
  <c r="C229" i="65"/>
  <c r="D229" i="65" s="1"/>
  <c r="E229" i="65" s="1"/>
  <c r="I248" i="1"/>
  <c r="J248" i="1" s="1"/>
  <c r="C235" i="65"/>
  <c r="D235" i="65" s="1"/>
  <c r="E235" i="65" s="1"/>
  <c r="I252" i="1"/>
  <c r="K252" i="1" s="1"/>
  <c r="O252" i="1" s="1"/>
  <c r="C239" i="65"/>
  <c r="D239" i="65" s="1"/>
  <c r="E239" i="65" s="1"/>
  <c r="I256" i="1"/>
  <c r="J256" i="1" s="1"/>
  <c r="C243" i="65"/>
  <c r="D243" i="65" s="1"/>
  <c r="E243" i="65" s="1"/>
  <c r="C238" i="65"/>
  <c r="D238" i="65" s="1"/>
  <c r="E238" i="65" s="1"/>
  <c r="C233" i="65"/>
  <c r="D233" i="65" s="1"/>
  <c r="E233" i="65" s="1"/>
  <c r="J246" i="1"/>
  <c r="K246" i="1"/>
  <c r="O246" i="1" s="1"/>
  <c r="K239" i="1"/>
  <c r="O239" i="1" s="1"/>
  <c r="J239" i="1"/>
  <c r="J242" i="1"/>
  <c r="L242" i="1" s="1"/>
  <c r="K242" i="1"/>
  <c r="O242" i="1" s="1"/>
  <c r="J251" i="1"/>
  <c r="K251" i="1"/>
  <c r="O251" i="1" s="1"/>
  <c r="J249" i="1"/>
  <c r="K249" i="1"/>
  <c r="O249" i="1" s="1"/>
  <c r="K255" i="1"/>
  <c r="O255" i="1" s="1"/>
  <c r="J255" i="1"/>
  <c r="L255" i="1" s="1"/>
  <c r="J245" i="1"/>
  <c r="K245" i="1"/>
  <c r="O245" i="1" s="1"/>
  <c r="J254" i="1"/>
  <c r="K254" i="1"/>
  <c r="O254" i="1" s="1"/>
  <c r="J250" i="1"/>
  <c r="K250" i="1"/>
  <c r="O250" i="1" s="1"/>
  <c r="L243" i="1"/>
  <c r="N243" i="1"/>
  <c r="J238" i="1"/>
  <c r="K238" i="1"/>
  <c r="O238" i="1" s="1"/>
  <c r="K243" i="1"/>
  <c r="O243" i="1" s="1"/>
  <c r="D7" i="30"/>
  <c r="L7" i="30"/>
  <c r="H7" i="30"/>
  <c r="L6" i="30"/>
  <c r="H6" i="30"/>
  <c r="D6" i="30"/>
  <c r="O45" i="12"/>
  <c r="O46" i="12"/>
  <c r="O47" i="12"/>
  <c r="O48" i="12"/>
  <c r="O49" i="12"/>
  <c r="O50" i="12"/>
  <c r="O51" i="12"/>
  <c r="O52" i="12"/>
  <c r="O53" i="12"/>
  <c r="O54" i="12"/>
  <c r="O55" i="12"/>
  <c r="M77" i="1" s="1"/>
  <c r="B71" i="65" s="1"/>
  <c r="O56" i="12"/>
  <c r="M78" i="1" s="1"/>
  <c r="B72" i="65" s="1"/>
  <c r="O57" i="12"/>
  <c r="M79" i="1" s="1"/>
  <c r="B73" i="65" s="1"/>
  <c r="O58" i="12"/>
  <c r="M80" i="1" s="1"/>
  <c r="B74" i="65" s="1"/>
  <c r="O59" i="12"/>
  <c r="M81" i="1" s="1"/>
  <c r="B75" i="65" s="1"/>
  <c r="O60" i="12"/>
  <c r="M82" i="1" s="1"/>
  <c r="B76" i="65" s="1"/>
  <c r="O61" i="12"/>
  <c r="M83" i="1" s="1"/>
  <c r="B77" i="65" s="1"/>
  <c r="O44" i="12"/>
  <c r="K248" i="1" l="1"/>
  <c r="O248" i="1" s="1"/>
  <c r="J253" i="1"/>
  <c r="L253" i="1" s="1"/>
  <c r="J241" i="1"/>
  <c r="L241" i="1" s="1"/>
  <c r="K256" i="1"/>
  <c r="O256" i="1" s="1"/>
  <c r="L248" i="1"/>
  <c r="N248" i="1"/>
  <c r="J247" i="1"/>
  <c r="L247" i="1" s="1"/>
  <c r="K244" i="1"/>
  <c r="O244" i="1" s="1"/>
  <c r="K237" i="1"/>
  <c r="O237" i="1" s="1"/>
  <c r="K240" i="1"/>
  <c r="O240" i="1" s="1"/>
  <c r="J252" i="1"/>
  <c r="L252" i="1" s="1"/>
  <c r="N242" i="1"/>
  <c r="L244" i="1"/>
  <c r="N244" i="1"/>
  <c r="N255" i="1"/>
  <c r="L245" i="1"/>
  <c r="N245" i="1"/>
  <c r="N251" i="1"/>
  <c r="L251" i="1"/>
  <c r="L256" i="1"/>
  <c r="N256" i="1"/>
  <c r="N254" i="1"/>
  <c r="L254" i="1"/>
  <c r="L237" i="1"/>
  <c r="N237" i="1"/>
  <c r="L249" i="1"/>
  <c r="N249" i="1"/>
  <c r="N240" i="1"/>
  <c r="L240" i="1"/>
  <c r="N239" i="1"/>
  <c r="L239" i="1"/>
  <c r="N246" i="1"/>
  <c r="L246" i="1"/>
  <c r="L250" i="1"/>
  <c r="N250" i="1"/>
  <c r="L238" i="1"/>
  <c r="N238" i="1"/>
  <c r="J5" i="12"/>
  <c r="B5" i="12"/>
  <c r="M99" i="30"/>
  <c r="M263" i="1"/>
  <c r="N253" i="1" l="1"/>
  <c r="N241" i="1"/>
  <c r="N247" i="1"/>
  <c r="N252" i="1"/>
  <c r="C216" i="65"/>
  <c r="B122" i="1"/>
  <c r="P19" i="16" l="1"/>
  <c r="M16" i="1" s="1"/>
  <c r="B12" i="65" s="1"/>
  <c r="P18" i="16"/>
  <c r="M15" i="1" s="1"/>
  <c r="B11" i="65" s="1"/>
  <c r="P20" i="16"/>
  <c r="M17" i="1" s="1"/>
  <c r="B13" i="65" s="1"/>
  <c r="E267" i="1"/>
  <c r="H267" i="1" s="1"/>
  <c r="E266" i="1"/>
  <c r="H266" i="1" s="1"/>
  <c r="F6" i="22" s="1"/>
  <c r="E98" i="1"/>
  <c r="C8" i="24" s="1"/>
  <c r="E118" i="1"/>
  <c r="C9" i="62" s="1"/>
  <c r="E93" i="1"/>
  <c r="C7" i="62" s="1"/>
  <c r="C16" i="62"/>
  <c r="C15" i="62"/>
  <c r="S30" i="1"/>
  <c r="S29" i="1"/>
  <c r="N292" i="1"/>
  <c r="H295" i="1"/>
  <c r="N295" i="1"/>
  <c r="N293" i="1"/>
  <c r="Y281" i="1"/>
  <c r="V281" i="1"/>
  <c r="S281" i="1"/>
  <c r="K8" i="59"/>
  <c r="K7" i="59"/>
  <c r="F283" i="1"/>
  <c r="F282" i="1"/>
  <c r="S25" i="1"/>
  <c r="S24" i="1"/>
  <c r="S209" i="1"/>
  <c r="B20" i="62"/>
  <c r="B19" i="62"/>
  <c r="C18" i="62"/>
  <c r="B18" i="62"/>
  <c r="C17" i="62"/>
  <c r="B17" i="62"/>
  <c r="B16" i="62"/>
  <c r="B15" i="62"/>
  <c r="C14" i="62"/>
  <c r="B14" i="62"/>
  <c r="C13" i="62"/>
  <c r="B13" i="62"/>
  <c r="T289" i="1"/>
  <c r="S47" i="1"/>
  <c r="S46" i="1"/>
  <c r="S15" i="1"/>
  <c r="S14" i="1"/>
  <c r="S13" i="1"/>
  <c r="B4" i="30"/>
  <c r="Q292" i="1"/>
  <c r="Q291" i="1"/>
  <c r="Q290" i="1"/>
  <c r="Q289" i="1"/>
  <c r="B2" i="30"/>
  <c r="H294" i="1"/>
  <c r="D295" i="1"/>
  <c r="A295" i="1"/>
  <c r="J4" i="30"/>
  <c r="F4" i="30"/>
  <c r="S82" i="1"/>
  <c r="S81" i="1"/>
  <c r="S80" i="1"/>
  <c r="S75" i="1"/>
  <c r="S79" i="1"/>
  <c r="N58" i="12"/>
  <c r="H80" i="1" s="1"/>
  <c r="N59" i="12"/>
  <c r="H81" i="1" s="1"/>
  <c r="N60" i="12"/>
  <c r="H82" i="1" s="1"/>
  <c r="N61" i="12"/>
  <c r="H83" i="1" s="1"/>
  <c r="N80" i="1"/>
  <c r="N81" i="1"/>
  <c r="O82" i="1"/>
  <c r="O83" i="1"/>
  <c r="L80" i="1"/>
  <c r="L81" i="1"/>
  <c r="L82" i="1"/>
  <c r="L83" i="1"/>
  <c r="M276" i="1"/>
  <c r="J12" i="59"/>
  <c r="J11" i="59"/>
  <c r="J9" i="59"/>
  <c r="K6" i="59"/>
  <c r="J7" i="59"/>
  <c r="A290" i="1"/>
  <c r="A291" i="1"/>
  <c r="A292" i="1"/>
  <c r="N30" i="30"/>
  <c r="M162" i="1" s="1"/>
  <c r="B144" i="65" s="1"/>
  <c r="S97" i="1"/>
  <c r="S96" i="1"/>
  <c r="S139" i="1"/>
  <c r="S138" i="1"/>
  <c r="S137" i="1"/>
  <c r="S136" i="1"/>
  <c r="L52" i="18"/>
  <c r="F9" i="62" s="1"/>
  <c r="H52" i="18"/>
  <c r="E9" i="62" s="1"/>
  <c r="D52" i="18"/>
  <c r="D9" i="62" s="1"/>
  <c r="P48" i="18"/>
  <c r="P49" i="18"/>
  <c r="P50" i="18"/>
  <c r="P51" i="18"/>
  <c r="O48" i="18"/>
  <c r="H136" i="1" s="1"/>
  <c r="O49" i="18"/>
  <c r="H137" i="1" s="1"/>
  <c r="O50" i="18"/>
  <c r="H138" i="1" s="1"/>
  <c r="O51" i="18"/>
  <c r="H139" i="1" s="1"/>
  <c r="M136" i="1"/>
  <c r="B118" i="65" s="1"/>
  <c r="M137" i="1"/>
  <c r="M138" i="1"/>
  <c r="M139" i="1"/>
  <c r="L136" i="1"/>
  <c r="L137" i="1"/>
  <c r="L138" i="1"/>
  <c r="L139" i="1"/>
  <c r="B2" i="9"/>
  <c r="G5" i="18"/>
  <c r="G52" i="18" s="1"/>
  <c r="O282" i="1"/>
  <c r="D284" i="1"/>
  <c r="C5" i="18"/>
  <c r="B52" i="18" s="1"/>
  <c r="K5" i="18"/>
  <c r="K52" i="18" s="1"/>
  <c r="L30" i="18"/>
  <c r="F8" i="62" s="1"/>
  <c r="H30" i="18"/>
  <c r="E8" i="62" s="1"/>
  <c r="D30" i="18"/>
  <c r="D8" i="62" s="1"/>
  <c r="H29" i="18"/>
  <c r="O29" i="18" s="1"/>
  <c r="M272" i="1"/>
  <c r="N92" i="30"/>
  <c r="M224" i="1" s="1"/>
  <c r="B208" i="65" s="1"/>
  <c r="N93" i="30"/>
  <c r="M225" i="1" s="1"/>
  <c r="B209" i="65" s="1"/>
  <c r="N94" i="30"/>
  <c r="M226" i="1" s="1"/>
  <c r="B210" i="65" s="1"/>
  <c r="N95" i="30"/>
  <c r="M227" i="1" s="1"/>
  <c r="B211" i="65" s="1"/>
  <c r="N96" i="30"/>
  <c r="M228" i="1" s="1"/>
  <c r="B212" i="65" s="1"/>
  <c r="B213" i="65"/>
  <c r="M229" i="1"/>
  <c r="B214" i="65" s="1"/>
  <c r="N98" i="30"/>
  <c r="M230" i="1" s="1"/>
  <c r="B215" i="65" s="1"/>
  <c r="N99" i="30"/>
  <c r="M231" i="1" s="1"/>
  <c r="B217" i="65" s="1"/>
  <c r="B218" i="65"/>
  <c r="N100" i="30"/>
  <c r="M232" i="1" s="1"/>
  <c r="B219" i="65" s="1"/>
  <c r="N101" i="30"/>
  <c r="M233" i="1" s="1"/>
  <c r="B220" i="65" s="1"/>
  <c r="N102" i="30"/>
  <c r="M234" i="1" s="1"/>
  <c r="B221" i="65" s="1"/>
  <c r="N103" i="30"/>
  <c r="M235" i="1" s="1"/>
  <c r="B222" i="65" s="1"/>
  <c r="N104" i="30"/>
  <c r="M236" i="1" s="1"/>
  <c r="B223" i="65" s="1"/>
  <c r="N56" i="30"/>
  <c r="M188" i="1" s="1"/>
  <c r="B170" i="65" s="1"/>
  <c r="N65" i="30"/>
  <c r="M197" i="1" s="1"/>
  <c r="B179" i="65" s="1"/>
  <c r="M65" i="30"/>
  <c r="H197" i="1" s="1"/>
  <c r="G197" i="1" s="1"/>
  <c r="K71" i="12"/>
  <c r="F6" i="62" s="1"/>
  <c r="C79" i="12"/>
  <c r="D7" i="62" s="1"/>
  <c r="G79" i="12"/>
  <c r="E7" i="62" s="1"/>
  <c r="K79" i="12"/>
  <c r="F7" i="62" s="1"/>
  <c r="S48" i="1"/>
  <c r="B3" i="18"/>
  <c r="E263" i="1"/>
  <c r="L263" i="1" s="1"/>
  <c r="A294" i="1"/>
  <c r="O77" i="12"/>
  <c r="O78" i="12"/>
  <c r="M97" i="1" s="1"/>
  <c r="B81" i="65" s="1"/>
  <c r="N77" i="12"/>
  <c r="H96" i="1" s="1"/>
  <c r="G96" i="1" s="1"/>
  <c r="N78" i="12"/>
  <c r="H97" i="1" s="1"/>
  <c r="G97" i="1" s="1"/>
  <c r="N76" i="12"/>
  <c r="H95" i="1" s="1"/>
  <c r="G95" i="1" s="1"/>
  <c r="M96" i="1"/>
  <c r="B80" i="65" s="1"/>
  <c r="B128" i="65"/>
  <c r="H292" i="1"/>
  <c r="D292" i="1"/>
  <c r="S188" i="1"/>
  <c r="S187" i="1"/>
  <c r="S186" i="1"/>
  <c r="S181" i="1"/>
  <c r="S185" i="1"/>
  <c r="S184" i="1"/>
  <c r="S183" i="1"/>
  <c r="S182" i="1"/>
  <c r="M48" i="30"/>
  <c r="H180" i="1" s="1"/>
  <c r="G180" i="1" s="1"/>
  <c r="N47" i="30"/>
  <c r="M179" i="1" s="1"/>
  <c r="B161" i="65" s="1"/>
  <c r="N50" i="30"/>
  <c r="M182" i="1" s="1"/>
  <c r="B164" i="65" s="1"/>
  <c r="N55" i="30"/>
  <c r="M187" i="1" s="1"/>
  <c r="B169" i="65" s="1"/>
  <c r="N54" i="30"/>
  <c r="M186" i="1" s="1"/>
  <c r="B168" i="65" s="1"/>
  <c r="N53" i="30"/>
  <c r="M185" i="1" s="1"/>
  <c r="B167" i="65" s="1"/>
  <c r="N52" i="30"/>
  <c r="M184" i="1" s="1"/>
  <c r="B166" i="65" s="1"/>
  <c r="N51" i="30"/>
  <c r="M183" i="1" s="1"/>
  <c r="B165" i="65" s="1"/>
  <c r="M56" i="30"/>
  <c r="H188" i="1" s="1"/>
  <c r="G188" i="1" s="1"/>
  <c r="M55" i="30"/>
  <c r="H187" i="1" s="1"/>
  <c r="G187" i="1" s="1"/>
  <c r="M54" i="30"/>
  <c r="H186" i="1" s="1"/>
  <c r="G186" i="1" s="1"/>
  <c r="M53" i="30"/>
  <c r="H185" i="1" s="1"/>
  <c r="G185" i="1" s="1"/>
  <c r="M52" i="30"/>
  <c r="H184" i="1" s="1"/>
  <c r="G184" i="1" s="1"/>
  <c r="M51" i="30"/>
  <c r="H183" i="1" s="1"/>
  <c r="G183" i="1" s="1"/>
  <c r="M50" i="30"/>
  <c r="H182" i="1" s="1"/>
  <c r="G182" i="1" s="1"/>
  <c r="O284" i="1"/>
  <c r="Q280" i="1"/>
  <c r="O280" i="1"/>
  <c r="F281" i="1"/>
  <c r="D281" i="1"/>
  <c r="D282" i="1"/>
  <c r="S210" i="1"/>
  <c r="S211" i="1"/>
  <c r="L37" i="16"/>
  <c r="F5" i="62" s="1"/>
  <c r="K38" i="16"/>
  <c r="K26" i="16"/>
  <c r="G26" i="16"/>
  <c r="C26" i="16"/>
  <c r="O19" i="16"/>
  <c r="H16" i="1" s="1"/>
  <c r="G16" i="1" s="1"/>
  <c r="N75" i="12"/>
  <c r="H94" i="1" s="1"/>
  <c r="G94" i="1" s="1"/>
  <c r="N39" i="12"/>
  <c r="H61" i="1" s="1"/>
  <c r="G61" i="1" s="1"/>
  <c r="P29" i="16"/>
  <c r="M23" i="1" s="1"/>
  <c r="B18" i="65" s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M93" i="30"/>
  <c r="H225" i="1" s="1"/>
  <c r="G225" i="1" s="1"/>
  <c r="M94" i="30"/>
  <c r="H226" i="1" s="1"/>
  <c r="G226" i="1" s="1"/>
  <c r="M95" i="30"/>
  <c r="H227" i="1" s="1"/>
  <c r="G227" i="1" s="1"/>
  <c r="M96" i="30"/>
  <c r="H228" i="1" s="1"/>
  <c r="G228" i="1" s="1"/>
  <c r="M97" i="30"/>
  <c r="H229" i="1" s="1"/>
  <c r="G229" i="1" s="1"/>
  <c r="M98" i="30"/>
  <c r="H230" i="1" s="1"/>
  <c r="G230" i="1" s="1"/>
  <c r="H231" i="1"/>
  <c r="G231" i="1" s="1"/>
  <c r="M100" i="30"/>
  <c r="H232" i="1" s="1"/>
  <c r="G232" i="1" s="1"/>
  <c r="M101" i="30"/>
  <c r="H233" i="1" s="1"/>
  <c r="G233" i="1" s="1"/>
  <c r="M102" i="30"/>
  <c r="H234" i="1" s="1"/>
  <c r="G234" i="1" s="1"/>
  <c r="M103" i="30"/>
  <c r="H235" i="1" s="1"/>
  <c r="G235" i="1" s="1"/>
  <c r="M104" i="30"/>
  <c r="H236" i="1" s="1"/>
  <c r="G236" i="1" s="1"/>
  <c r="M92" i="30"/>
  <c r="H224" i="1" s="1"/>
  <c r="G224" i="1" s="1"/>
  <c r="O37" i="18"/>
  <c r="H125" i="1" s="1"/>
  <c r="G125" i="1" s="1"/>
  <c r="S9" i="1"/>
  <c r="B21" i="59"/>
  <c r="B20" i="59"/>
  <c r="B19" i="59"/>
  <c r="B18" i="59"/>
  <c r="S8" i="1"/>
  <c r="S7" i="1"/>
  <c r="S6" i="1"/>
  <c r="E22" i="1"/>
  <c r="C5" i="62" s="1"/>
  <c r="N57" i="12"/>
  <c r="H79" i="1" s="1"/>
  <c r="G79" i="1" s="1"/>
  <c r="G38" i="16"/>
  <c r="C38" i="16"/>
  <c r="E273" i="1"/>
  <c r="H273" i="1" s="1"/>
  <c r="S144" i="1"/>
  <c r="S143" i="1"/>
  <c r="S142" i="1"/>
  <c r="S99" i="1"/>
  <c r="S135" i="1"/>
  <c r="S134" i="1"/>
  <c r="S133" i="1"/>
  <c r="S132" i="1"/>
  <c r="S131" i="1"/>
  <c r="S130" i="1"/>
  <c r="S129" i="1"/>
  <c r="S128" i="1"/>
  <c r="S127" i="1"/>
  <c r="S125" i="1"/>
  <c r="S124" i="1"/>
  <c r="E272" i="1"/>
  <c r="H272" i="1" s="1"/>
  <c r="B72" i="12"/>
  <c r="C15" i="22"/>
  <c r="B28" i="1"/>
  <c r="B25" i="1"/>
  <c r="S141" i="1"/>
  <c r="S67" i="1"/>
  <c r="S160" i="1"/>
  <c r="J5" i="59"/>
  <c r="J10" i="59"/>
  <c r="J13" i="59"/>
  <c r="K14" i="59"/>
  <c r="J14" i="59"/>
  <c r="K13" i="59"/>
  <c r="K12" i="59"/>
  <c r="K11" i="59"/>
  <c r="K10" i="59"/>
  <c r="K9" i="59"/>
  <c r="J8" i="59"/>
  <c r="J6" i="59"/>
  <c r="K5" i="59"/>
  <c r="Q284" i="1"/>
  <c r="Q283" i="1"/>
  <c r="O283" i="1"/>
  <c r="Q282" i="1"/>
  <c r="Q281" i="1"/>
  <c r="O281" i="1"/>
  <c r="F284" i="1"/>
  <c r="D283" i="1"/>
  <c r="F280" i="1"/>
  <c r="D280" i="1"/>
  <c r="O31" i="18"/>
  <c r="H119" i="1" s="1"/>
  <c r="G119" i="1" s="1"/>
  <c r="O32" i="18"/>
  <c r="H120" i="1" s="1"/>
  <c r="G120" i="1" s="1"/>
  <c r="O33" i="18"/>
  <c r="H121" i="1" s="1"/>
  <c r="G121" i="1" s="1"/>
  <c r="O34" i="18"/>
  <c r="H122" i="1" s="1"/>
  <c r="G122" i="1" s="1"/>
  <c r="O35" i="18"/>
  <c r="H123" i="1" s="1"/>
  <c r="G123" i="1" s="1"/>
  <c r="O36" i="18"/>
  <c r="H124" i="1" s="1"/>
  <c r="G124" i="1" s="1"/>
  <c r="O38" i="18"/>
  <c r="H126" i="1" s="1"/>
  <c r="G126" i="1" s="1"/>
  <c r="O39" i="18"/>
  <c r="H127" i="1" s="1"/>
  <c r="G127" i="1" s="1"/>
  <c r="O40" i="18"/>
  <c r="H128" i="1" s="1"/>
  <c r="G128" i="1" s="1"/>
  <c r="O41" i="18"/>
  <c r="H129" i="1" s="1"/>
  <c r="G129" i="1" s="1"/>
  <c r="O42" i="18"/>
  <c r="H130" i="1" s="1"/>
  <c r="G130" i="1" s="1"/>
  <c r="O43" i="18"/>
  <c r="H131" i="1" s="1"/>
  <c r="G131" i="1" s="1"/>
  <c r="O44" i="18"/>
  <c r="H132" i="1" s="1"/>
  <c r="G132" i="1" s="1"/>
  <c r="O45" i="18"/>
  <c r="H133" i="1" s="1"/>
  <c r="G133" i="1" s="1"/>
  <c r="O46" i="18"/>
  <c r="H134" i="1" s="1"/>
  <c r="G134" i="1" s="1"/>
  <c r="O47" i="18"/>
  <c r="H135" i="1" s="1"/>
  <c r="G135" i="1" s="1"/>
  <c r="P31" i="18"/>
  <c r="M119" i="1" s="1"/>
  <c r="B101" i="65" s="1"/>
  <c r="P32" i="18"/>
  <c r="M120" i="1" s="1"/>
  <c r="B102" i="65" s="1"/>
  <c r="P33" i="18"/>
  <c r="M121" i="1" s="1"/>
  <c r="B103" i="65" s="1"/>
  <c r="P34" i="18"/>
  <c r="M122" i="1" s="1"/>
  <c r="B104" i="65" s="1"/>
  <c r="P35" i="18"/>
  <c r="M123" i="1" s="1"/>
  <c r="B105" i="65" s="1"/>
  <c r="P36" i="18"/>
  <c r="M124" i="1" s="1"/>
  <c r="B106" i="65" s="1"/>
  <c r="P37" i="18"/>
  <c r="M125" i="1" s="1"/>
  <c r="B107" i="65" s="1"/>
  <c r="P38" i="18"/>
  <c r="M126" i="1" s="1"/>
  <c r="B108" i="65" s="1"/>
  <c r="P39" i="18"/>
  <c r="M127" i="1" s="1"/>
  <c r="B109" i="65" s="1"/>
  <c r="P40" i="18"/>
  <c r="M128" i="1" s="1"/>
  <c r="B110" i="65" s="1"/>
  <c r="P41" i="18"/>
  <c r="M129" i="1" s="1"/>
  <c r="B111" i="65" s="1"/>
  <c r="P42" i="18"/>
  <c r="M130" i="1" s="1"/>
  <c r="B112" i="65" s="1"/>
  <c r="P43" i="18"/>
  <c r="M131" i="1" s="1"/>
  <c r="B113" i="65" s="1"/>
  <c r="P44" i="18"/>
  <c r="M132" i="1" s="1"/>
  <c r="B114" i="65" s="1"/>
  <c r="P45" i="18"/>
  <c r="M133" i="1" s="1"/>
  <c r="B115" i="65" s="1"/>
  <c r="P46" i="18"/>
  <c r="M134" i="1" s="1"/>
  <c r="B116" i="65" s="1"/>
  <c r="P47" i="18"/>
  <c r="M135" i="1" s="1"/>
  <c r="B117" i="65" s="1"/>
  <c r="S117" i="1"/>
  <c r="S116" i="1"/>
  <c r="M9" i="30"/>
  <c r="H141" i="1" s="1"/>
  <c r="G141" i="1" s="1"/>
  <c r="M10" i="30"/>
  <c r="H142" i="1" s="1"/>
  <c r="G142" i="1" s="1"/>
  <c r="H143" i="1"/>
  <c r="G143" i="1" s="1"/>
  <c r="M12" i="30"/>
  <c r="H144" i="1" s="1"/>
  <c r="G144" i="1" s="1"/>
  <c r="M13" i="30"/>
  <c r="H145" i="1" s="1"/>
  <c r="G145" i="1" s="1"/>
  <c r="M14" i="30"/>
  <c r="H146" i="1" s="1"/>
  <c r="G146" i="1" s="1"/>
  <c r="M15" i="30"/>
  <c r="H147" i="1" s="1"/>
  <c r="G147" i="1" s="1"/>
  <c r="M16" i="30"/>
  <c r="H148" i="1" s="1"/>
  <c r="G148" i="1" s="1"/>
  <c r="M17" i="30"/>
  <c r="H149" i="1" s="1"/>
  <c r="G149" i="1" s="1"/>
  <c r="M18" i="30"/>
  <c r="H150" i="1" s="1"/>
  <c r="G150" i="1" s="1"/>
  <c r="M19" i="30"/>
  <c r="H151" i="1" s="1"/>
  <c r="G151" i="1" s="1"/>
  <c r="M20" i="30"/>
  <c r="H152" i="1" s="1"/>
  <c r="G152" i="1" s="1"/>
  <c r="M21" i="30"/>
  <c r="H153" i="1" s="1"/>
  <c r="G153" i="1" s="1"/>
  <c r="M22" i="30"/>
  <c r="H154" i="1" s="1"/>
  <c r="G154" i="1" s="1"/>
  <c r="M23" i="30"/>
  <c r="H155" i="1" s="1"/>
  <c r="G155" i="1" s="1"/>
  <c r="M24" i="30"/>
  <c r="H156" i="1" s="1"/>
  <c r="G156" i="1" s="1"/>
  <c r="M25" i="30"/>
  <c r="H157" i="1" s="1"/>
  <c r="G157" i="1" s="1"/>
  <c r="M26" i="30"/>
  <c r="H158" i="1" s="1"/>
  <c r="G158" i="1" s="1"/>
  <c r="M27" i="30"/>
  <c r="H159" i="1" s="1"/>
  <c r="G159" i="1" s="1"/>
  <c r="M28" i="30"/>
  <c r="H160" i="1" s="1"/>
  <c r="G160" i="1" s="1"/>
  <c r="M29" i="30"/>
  <c r="H161" i="1" s="1"/>
  <c r="G161" i="1" s="1"/>
  <c r="M30" i="30"/>
  <c r="H162" i="1" s="1"/>
  <c r="G162" i="1" s="1"/>
  <c r="M31" i="30"/>
  <c r="H163" i="1" s="1"/>
  <c r="G163" i="1" s="1"/>
  <c r="M32" i="30"/>
  <c r="H164" i="1" s="1"/>
  <c r="G164" i="1" s="1"/>
  <c r="M33" i="30"/>
  <c r="H165" i="1" s="1"/>
  <c r="G165" i="1" s="1"/>
  <c r="M34" i="30"/>
  <c r="H166" i="1" s="1"/>
  <c r="G166" i="1" s="1"/>
  <c r="M35" i="30"/>
  <c r="H167" i="1" s="1"/>
  <c r="G167" i="1" s="1"/>
  <c r="M36" i="30"/>
  <c r="H168" i="1" s="1"/>
  <c r="G168" i="1" s="1"/>
  <c r="M37" i="30"/>
  <c r="H169" i="1" s="1"/>
  <c r="G169" i="1" s="1"/>
  <c r="M38" i="30"/>
  <c r="H170" i="1" s="1"/>
  <c r="G170" i="1" s="1"/>
  <c r="M39" i="30"/>
  <c r="M40" i="30"/>
  <c r="H172" i="1" s="1"/>
  <c r="G172" i="1" s="1"/>
  <c r="M41" i="30"/>
  <c r="H173" i="1" s="1"/>
  <c r="G173" i="1" s="1"/>
  <c r="M42" i="30"/>
  <c r="H174" i="1" s="1"/>
  <c r="G174" i="1" s="1"/>
  <c r="M43" i="30"/>
  <c r="H175" i="1" s="1"/>
  <c r="G175" i="1" s="1"/>
  <c r="M44" i="30"/>
  <c r="H176" i="1" s="1"/>
  <c r="G176" i="1" s="1"/>
  <c r="M45" i="30"/>
  <c r="H177" i="1" s="1"/>
  <c r="G177" i="1" s="1"/>
  <c r="M46" i="30"/>
  <c r="H178" i="1" s="1"/>
  <c r="G178" i="1" s="1"/>
  <c r="M47" i="30"/>
  <c r="H179" i="1" s="1"/>
  <c r="G179" i="1" s="1"/>
  <c r="M49" i="30"/>
  <c r="H181" i="1" s="1"/>
  <c r="G181" i="1" s="1"/>
  <c r="M57" i="30"/>
  <c r="H189" i="1" s="1"/>
  <c r="G189" i="1" s="1"/>
  <c r="M58" i="30"/>
  <c r="H190" i="1" s="1"/>
  <c r="G190" i="1" s="1"/>
  <c r="M59" i="30"/>
  <c r="H191" i="1" s="1"/>
  <c r="G191" i="1" s="1"/>
  <c r="M60" i="30"/>
  <c r="H192" i="1" s="1"/>
  <c r="G192" i="1" s="1"/>
  <c r="M61" i="30"/>
  <c r="H193" i="1" s="1"/>
  <c r="G193" i="1" s="1"/>
  <c r="M62" i="30"/>
  <c r="H194" i="1" s="1"/>
  <c r="G194" i="1" s="1"/>
  <c r="M63" i="30"/>
  <c r="H195" i="1" s="1"/>
  <c r="G195" i="1" s="1"/>
  <c r="M64" i="30"/>
  <c r="H196" i="1" s="1"/>
  <c r="G196" i="1" s="1"/>
  <c r="M66" i="30"/>
  <c r="H198" i="1" s="1"/>
  <c r="G198" i="1" s="1"/>
  <c r="M67" i="30"/>
  <c r="H199" i="1" s="1"/>
  <c r="G199" i="1" s="1"/>
  <c r="M68" i="30"/>
  <c r="H200" i="1" s="1"/>
  <c r="G200" i="1" s="1"/>
  <c r="M69" i="30"/>
  <c r="H201" i="1" s="1"/>
  <c r="G201" i="1" s="1"/>
  <c r="M70" i="30"/>
  <c r="H202" i="1" s="1"/>
  <c r="G202" i="1" s="1"/>
  <c r="M71" i="30"/>
  <c r="H203" i="1" s="1"/>
  <c r="G203" i="1" s="1"/>
  <c r="M72" i="30"/>
  <c r="H204" i="1" s="1"/>
  <c r="G204" i="1" s="1"/>
  <c r="M73" i="30"/>
  <c r="H205" i="1" s="1"/>
  <c r="G205" i="1" s="1"/>
  <c r="M74" i="30"/>
  <c r="H206" i="1" s="1"/>
  <c r="G206" i="1" s="1"/>
  <c r="M75" i="30"/>
  <c r="H207" i="1" s="1"/>
  <c r="G207" i="1" s="1"/>
  <c r="M76" i="30"/>
  <c r="H208" i="1" s="1"/>
  <c r="G208" i="1" s="1"/>
  <c r="M77" i="30"/>
  <c r="H209" i="1" s="1"/>
  <c r="G209" i="1" s="1"/>
  <c r="M78" i="30"/>
  <c r="H210" i="1" s="1"/>
  <c r="G210" i="1" s="1"/>
  <c r="M79" i="30"/>
  <c r="H211" i="1" s="1"/>
  <c r="G211" i="1" s="1"/>
  <c r="M80" i="30"/>
  <c r="H212" i="1" s="1"/>
  <c r="G212" i="1" s="1"/>
  <c r="M81" i="30"/>
  <c r="H213" i="1" s="1"/>
  <c r="G213" i="1" s="1"/>
  <c r="M82" i="30"/>
  <c r="H214" i="1" s="1"/>
  <c r="G214" i="1" s="1"/>
  <c r="M83" i="30"/>
  <c r="H215" i="1" s="1"/>
  <c r="G215" i="1" s="1"/>
  <c r="M84" i="30"/>
  <c r="H216" i="1" s="1"/>
  <c r="G216" i="1" s="1"/>
  <c r="M85" i="30"/>
  <c r="H217" i="1" s="1"/>
  <c r="G217" i="1" s="1"/>
  <c r="M86" i="30"/>
  <c r="H218" i="1" s="1"/>
  <c r="G218" i="1" s="1"/>
  <c r="M87" i="30"/>
  <c r="H219" i="1" s="1"/>
  <c r="G219" i="1" s="1"/>
  <c r="M88" i="30"/>
  <c r="H220" i="1" s="1"/>
  <c r="G220" i="1" s="1"/>
  <c r="M89" i="30"/>
  <c r="H221" i="1" s="1"/>
  <c r="G221" i="1" s="1"/>
  <c r="M90" i="30"/>
  <c r="H222" i="1" s="1"/>
  <c r="G222" i="1" s="1"/>
  <c r="M91" i="30"/>
  <c r="H223" i="1" s="1"/>
  <c r="G223" i="1" s="1"/>
  <c r="B129" i="65"/>
  <c r="N16" i="30"/>
  <c r="N17" i="30"/>
  <c r="M149" i="1" s="1"/>
  <c r="B131" i="65" s="1"/>
  <c r="N18" i="30"/>
  <c r="M150" i="1" s="1"/>
  <c r="B132" i="65" s="1"/>
  <c r="M151" i="1"/>
  <c r="B133" i="65" s="1"/>
  <c r="N20" i="30"/>
  <c r="M152" i="1" s="1"/>
  <c r="B134" i="65" s="1"/>
  <c r="N21" i="30"/>
  <c r="M153" i="1" s="1"/>
  <c r="B135" i="65" s="1"/>
  <c r="N22" i="30"/>
  <c r="M154" i="1" s="1"/>
  <c r="B136" i="65" s="1"/>
  <c r="N23" i="30"/>
  <c r="M155" i="1" s="1"/>
  <c r="B137" i="65" s="1"/>
  <c r="N24" i="30"/>
  <c r="M156" i="1" s="1"/>
  <c r="B138" i="65" s="1"/>
  <c r="N25" i="30"/>
  <c r="M157" i="1" s="1"/>
  <c r="B139" i="65" s="1"/>
  <c r="N26" i="30"/>
  <c r="M158" i="1" s="1"/>
  <c r="B140" i="65" s="1"/>
  <c r="N27" i="30"/>
  <c r="M159" i="1" s="1"/>
  <c r="B141" i="65" s="1"/>
  <c r="N28" i="30"/>
  <c r="M160" i="1" s="1"/>
  <c r="B142" i="65" s="1"/>
  <c r="N29" i="30"/>
  <c r="M161" i="1" s="1"/>
  <c r="B143" i="65" s="1"/>
  <c r="N31" i="30"/>
  <c r="M163" i="1" s="1"/>
  <c r="B145" i="65" s="1"/>
  <c r="N32" i="30"/>
  <c r="M164" i="1" s="1"/>
  <c r="B146" i="65" s="1"/>
  <c r="N33" i="30"/>
  <c r="M165" i="1" s="1"/>
  <c r="B147" i="65" s="1"/>
  <c r="N34" i="30"/>
  <c r="M166" i="1" s="1"/>
  <c r="B148" i="65" s="1"/>
  <c r="N35" i="30"/>
  <c r="M167" i="1" s="1"/>
  <c r="B149" i="65" s="1"/>
  <c r="N36" i="30"/>
  <c r="M168" i="1" s="1"/>
  <c r="B150" i="65" s="1"/>
  <c r="N37" i="30"/>
  <c r="M169" i="1" s="1"/>
  <c r="B151" i="65" s="1"/>
  <c r="N38" i="30"/>
  <c r="M170" i="1" s="1"/>
  <c r="B152" i="65" s="1"/>
  <c r="N39" i="30"/>
  <c r="M171" i="1" s="1"/>
  <c r="B153" i="65" s="1"/>
  <c r="N40" i="30"/>
  <c r="M172" i="1" s="1"/>
  <c r="B154" i="65" s="1"/>
  <c r="N41" i="30"/>
  <c r="M173" i="1" s="1"/>
  <c r="B155" i="65" s="1"/>
  <c r="N42" i="30"/>
  <c r="M174" i="1" s="1"/>
  <c r="B156" i="65" s="1"/>
  <c r="N43" i="30"/>
  <c r="M175" i="1" s="1"/>
  <c r="B157" i="65" s="1"/>
  <c r="N44" i="30"/>
  <c r="M176" i="1" s="1"/>
  <c r="B158" i="65" s="1"/>
  <c r="N45" i="30"/>
  <c r="M177" i="1" s="1"/>
  <c r="B159" i="65" s="1"/>
  <c r="N46" i="30"/>
  <c r="M178" i="1" s="1"/>
  <c r="B160" i="65" s="1"/>
  <c r="N48" i="30"/>
  <c r="M180" i="1" s="1"/>
  <c r="B162" i="65" s="1"/>
  <c r="N49" i="30"/>
  <c r="M181" i="1" s="1"/>
  <c r="B163" i="65" s="1"/>
  <c r="N57" i="30"/>
  <c r="M189" i="1" s="1"/>
  <c r="B171" i="65" s="1"/>
  <c r="N58" i="30"/>
  <c r="M190" i="1" s="1"/>
  <c r="B172" i="65" s="1"/>
  <c r="N59" i="30"/>
  <c r="M191" i="1" s="1"/>
  <c r="B173" i="65" s="1"/>
  <c r="N60" i="30"/>
  <c r="M192" i="1" s="1"/>
  <c r="B174" i="65" s="1"/>
  <c r="N61" i="30"/>
  <c r="M193" i="1" s="1"/>
  <c r="B175" i="65" s="1"/>
  <c r="N62" i="30"/>
  <c r="M194" i="1" s="1"/>
  <c r="B176" i="65" s="1"/>
  <c r="N63" i="30"/>
  <c r="M195" i="1" s="1"/>
  <c r="B177" i="65" s="1"/>
  <c r="N64" i="30"/>
  <c r="M196" i="1" s="1"/>
  <c r="B178" i="65" s="1"/>
  <c r="N66" i="30"/>
  <c r="M198" i="1" s="1"/>
  <c r="B180" i="65" s="1"/>
  <c r="N67" i="30"/>
  <c r="M199" i="1" s="1"/>
  <c r="B181" i="65" s="1"/>
  <c r="N68" i="30"/>
  <c r="M200" i="1" s="1"/>
  <c r="B182" i="65" s="1"/>
  <c r="N69" i="30"/>
  <c r="M201" i="1" s="1"/>
  <c r="B183" i="65" s="1"/>
  <c r="N70" i="30"/>
  <c r="M202" i="1" s="1"/>
  <c r="B184" i="65" s="1"/>
  <c r="N71" i="30"/>
  <c r="M203" i="1" s="1"/>
  <c r="B185" i="65" s="1"/>
  <c r="N72" i="30"/>
  <c r="M204" i="1" s="1"/>
  <c r="B186" i="65" s="1"/>
  <c r="N73" i="30"/>
  <c r="M205" i="1" s="1"/>
  <c r="B187" i="65" s="1"/>
  <c r="N74" i="30"/>
  <c r="M206" i="1" s="1"/>
  <c r="B188" i="65" s="1"/>
  <c r="N75" i="30"/>
  <c r="M207" i="1" s="1"/>
  <c r="B189" i="65" s="1"/>
  <c r="N76" i="30"/>
  <c r="M208" i="1" s="1"/>
  <c r="B190" i="65" s="1"/>
  <c r="N77" i="30"/>
  <c r="M209" i="1" s="1"/>
  <c r="B191" i="65" s="1"/>
  <c r="N78" i="30"/>
  <c r="M210" i="1" s="1"/>
  <c r="B192" i="65" s="1"/>
  <c r="N79" i="30"/>
  <c r="M211" i="1" s="1"/>
  <c r="B193" i="65" s="1"/>
  <c r="N80" i="30"/>
  <c r="M212" i="1" s="1"/>
  <c r="B194" i="65" s="1"/>
  <c r="N81" i="30"/>
  <c r="M213" i="1" s="1"/>
  <c r="B195" i="65" s="1"/>
  <c r="N82" i="30"/>
  <c r="M214" i="1" s="1"/>
  <c r="B196" i="65" s="1"/>
  <c r="N83" i="30"/>
  <c r="M215" i="1" s="1"/>
  <c r="B197" i="65" s="1"/>
  <c r="B198" i="65"/>
  <c r="B199" i="65"/>
  <c r="N84" i="30"/>
  <c r="M216" i="1" s="1"/>
  <c r="B200" i="65" s="1"/>
  <c r="N85" i="30"/>
  <c r="M217" i="1" s="1"/>
  <c r="B201" i="65" s="1"/>
  <c r="N86" i="30"/>
  <c r="M218" i="1" s="1"/>
  <c r="B202" i="65" s="1"/>
  <c r="N87" i="30"/>
  <c r="M219" i="1" s="1"/>
  <c r="B203" i="65" s="1"/>
  <c r="N88" i="30"/>
  <c r="M220" i="1" s="1"/>
  <c r="B204" i="65" s="1"/>
  <c r="N89" i="30"/>
  <c r="M221" i="1" s="1"/>
  <c r="B205" i="65" s="1"/>
  <c r="N90" i="30"/>
  <c r="M222" i="1" s="1"/>
  <c r="B206" i="65" s="1"/>
  <c r="N91" i="30"/>
  <c r="M223" i="1" s="1"/>
  <c r="B207" i="65" s="1"/>
  <c r="N9" i="30"/>
  <c r="M141" i="1" s="1"/>
  <c r="B122" i="65" s="1"/>
  <c r="N10" i="30"/>
  <c r="M142" i="1" s="1"/>
  <c r="B123" i="65" s="1"/>
  <c r="M143" i="1"/>
  <c r="B124" i="65" s="1"/>
  <c r="N12" i="30"/>
  <c r="M144" i="1" s="1"/>
  <c r="B125" i="65" s="1"/>
  <c r="N13" i="30"/>
  <c r="M145" i="1" s="1"/>
  <c r="B126" i="65" s="1"/>
  <c r="N14" i="30"/>
  <c r="M146" i="1" s="1"/>
  <c r="B127" i="65" s="1"/>
  <c r="S119" i="1"/>
  <c r="S100" i="1"/>
  <c r="P10" i="18"/>
  <c r="M99" i="1" s="1"/>
  <c r="B82" i="65" s="1"/>
  <c r="O10" i="18"/>
  <c r="H99" i="1" s="1"/>
  <c r="G99" i="1" s="1"/>
  <c r="S126" i="1"/>
  <c r="S123" i="1"/>
  <c r="S122" i="1"/>
  <c r="S121" i="1"/>
  <c r="S120" i="1"/>
  <c r="O21" i="18"/>
  <c r="H110" i="1" s="1"/>
  <c r="G110" i="1" s="1"/>
  <c r="P21" i="18"/>
  <c r="M110" i="1" s="1"/>
  <c r="B93" i="65" s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N56" i="12"/>
  <c r="H78" i="1" s="1"/>
  <c r="G78" i="1" s="1"/>
  <c r="M7" i="30"/>
  <c r="M6" i="30"/>
  <c r="E140" i="1" s="1"/>
  <c r="W286" i="1"/>
  <c r="L286" i="1" a="1"/>
  <c r="L286" i="1" s="1"/>
  <c r="D286" i="1"/>
  <c r="S149" i="1"/>
  <c r="S147" i="1"/>
  <c r="S146" i="1"/>
  <c r="S145" i="1"/>
  <c r="S148" i="1"/>
  <c r="P28" i="18"/>
  <c r="O28" i="18"/>
  <c r="H117" i="1" s="1"/>
  <c r="G117" i="1" s="1"/>
  <c r="P27" i="18"/>
  <c r="O27" i="18"/>
  <c r="H116" i="1" s="1"/>
  <c r="G116" i="1" s="1"/>
  <c r="P26" i="18"/>
  <c r="M115" i="1" s="1"/>
  <c r="B98" i="65" s="1"/>
  <c r="O26" i="18"/>
  <c r="H115" i="1" s="1"/>
  <c r="G115" i="1" s="1"/>
  <c r="P25" i="18"/>
  <c r="M114" i="1" s="1"/>
  <c r="B97" i="65" s="1"/>
  <c r="O25" i="18"/>
  <c r="H114" i="1" s="1"/>
  <c r="G114" i="1" s="1"/>
  <c r="P24" i="18"/>
  <c r="M113" i="1" s="1"/>
  <c r="B96" i="65" s="1"/>
  <c r="O24" i="18"/>
  <c r="H113" i="1" s="1"/>
  <c r="G113" i="1" s="1"/>
  <c r="I264" i="1"/>
  <c r="K264" i="1" s="1"/>
  <c r="I263" i="1"/>
  <c r="K263" i="1" s="1"/>
  <c r="P23" i="18"/>
  <c r="M112" i="1" s="1"/>
  <c r="B95" i="65" s="1"/>
  <c r="P22" i="18"/>
  <c r="M111" i="1" s="1"/>
  <c r="B94" i="65" s="1"/>
  <c r="P20" i="18"/>
  <c r="M109" i="1" s="1"/>
  <c r="B92" i="65" s="1"/>
  <c r="O23" i="18"/>
  <c r="H112" i="1" s="1"/>
  <c r="G112" i="1" s="1"/>
  <c r="O22" i="18"/>
  <c r="H111" i="1" s="1"/>
  <c r="G111" i="1" s="1"/>
  <c r="O20" i="18"/>
  <c r="H109" i="1" s="1"/>
  <c r="G109" i="1" s="1"/>
  <c r="O43" i="12"/>
  <c r="M65" i="1" s="1"/>
  <c r="B59" i="65" s="1"/>
  <c r="O14" i="12"/>
  <c r="M36" i="1" s="1"/>
  <c r="B30" i="65" s="1"/>
  <c r="O15" i="12"/>
  <c r="M37" i="1" s="1"/>
  <c r="B31" i="65" s="1"/>
  <c r="M278" i="1"/>
  <c r="E278" i="1"/>
  <c r="H278" i="1" s="1"/>
  <c r="B11" i="59"/>
  <c r="E264" i="1"/>
  <c r="L264" i="1" s="1"/>
  <c r="N8" i="22" s="1"/>
  <c r="B11" i="1"/>
  <c r="P23" i="16"/>
  <c r="M20" i="1" s="1"/>
  <c r="B16" i="65" s="1"/>
  <c r="O23" i="16"/>
  <c r="H20" i="1" s="1"/>
  <c r="G20" i="1" s="1"/>
  <c r="P22" i="16"/>
  <c r="M19" i="1" s="1"/>
  <c r="B15" i="65" s="1"/>
  <c r="O22" i="16"/>
  <c r="H19" i="1" s="1"/>
  <c r="G19" i="1" s="1"/>
  <c r="S21" i="1"/>
  <c r="S20" i="1"/>
  <c r="S19" i="1"/>
  <c r="S18" i="1"/>
  <c r="P21" i="16"/>
  <c r="M18" i="1" s="1"/>
  <c r="B14" i="65" s="1"/>
  <c r="O21" i="16"/>
  <c r="H18" i="1" s="1"/>
  <c r="G18" i="1" s="1"/>
  <c r="S177" i="1"/>
  <c r="S180" i="1"/>
  <c r="S179" i="1"/>
  <c r="S178" i="1"/>
  <c r="S176" i="1"/>
  <c r="S175" i="1"/>
  <c r="S174" i="1"/>
  <c r="S173" i="1"/>
  <c r="S172" i="1"/>
  <c r="S171" i="1"/>
  <c r="S169" i="1"/>
  <c r="S167" i="1"/>
  <c r="S166" i="1"/>
  <c r="S165" i="1"/>
  <c r="S170" i="1"/>
  <c r="S168" i="1"/>
  <c r="S164" i="1"/>
  <c r="N23" i="12"/>
  <c r="H45" i="1" s="1"/>
  <c r="G45" i="1" s="1"/>
  <c r="S163" i="1"/>
  <c r="H293" i="1"/>
  <c r="D293" i="1"/>
  <c r="H37" i="16"/>
  <c r="E5" i="62" s="1"/>
  <c r="D37" i="16"/>
  <c r="D5" i="62" s="1"/>
  <c r="B4" i="62"/>
  <c r="B10" i="62"/>
  <c r="B9" i="62"/>
  <c r="B8" i="62"/>
  <c r="B7" i="62"/>
  <c r="B6" i="62"/>
  <c r="S37" i="1"/>
  <c r="E31" i="1"/>
  <c r="C6" i="62" s="1"/>
  <c r="B5" i="62"/>
  <c r="P35" i="16"/>
  <c r="M29" i="1" s="1"/>
  <c r="B24" i="65" s="1"/>
  <c r="P36" i="16"/>
  <c r="M30" i="1" s="1"/>
  <c r="B25" i="65" s="1"/>
  <c r="P13" i="18"/>
  <c r="M102" i="1" s="1"/>
  <c r="B85" i="65" s="1"/>
  <c r="P14" i="18"/>
  <c r="M103" i="1" s="1"/>
  <c r="B86" i="65" s="1"/>
  <c r="P15" i="18"/>
  <c r="M104" i="1" s="1"/>
  <c r="B87" i="65" s="1"/>
  <c r="P16" i="18"/>
  <c r="M105" i="1" s="1"/>
  <c r="B88" i="65" s="1"/>
  <c r="P17" i="18"/>
  <c r="M106" i="1" s="1"/>
  <c r="B89" i="65" s="1"/>
  <c r="P18" i="18"/>
  <c r="M107" i="1" s="1"/>
  <c r="B90" i="65" s="1"/>
  <c r="P19" i="18"/>
  <c r="M108" i="1" s="1"/>
  <c r="B91" i="65" s="1"/>
  <c r="O36" i="16"/>
  <c r="H30" i="1" s="1"/>
  <c r="G30" i="1" s="1"/>
  <c r="O35" i="16"/>
  <c r="H29" i="1" s="1"/>
  <c r="G29" i="1" s="1"/>
  <c r="O19" i="18"/>
  <c r="H108" i="1" s="1"/>
  <c r="G108" i="1" s="1"/>
  <c r="O18" i="18"/>
  <c r="H107" i="1" s="1"/>
  <c r="G107" i="1" s="1"/>
  <c r="O17" i="18"/>
  <c r="H106" i="1" s="1"/>
  <c r="G106" i="1" s="1"/>
  <c r="E5" i="1"/>
  <c r="C4" i="59" s="1"/>
  <c r="O16" i="18"/>
  <c r="H105" i="1" s="1"/>
  <c r="G105" i="1" s="1"/>
  <c r="O15" i="18"/>
  <c r="H104" i="1" s="1"/>
  <c r="G104" i="1" s="1"/>
  <c r="O14" i="18"/>
  <c r="H103" i="1" s="1"/>
  <c r="G103" i="1" s="1"/>
  <c r="O13" i="18"/>
  <c r="H102" i="1" s="1"/>
  <c r="G102" i="1" s="1"/>
  <c r="S1" i="1"/>
  <c r="A288" i="1"/>
  <c r="A289" i="1"/>
  <c r="B22" i="59"/>
  <c r="B23" i="59"/>
  <c r="B24" i="59"/>
  <c r="B25" i="59"/>
  <c r="B26" i="59"/>
  <c r="B27" i="59"/>
  <c r="B28" i="59"/>
  <c r="B29" i="59"/>
  <c r="B30" i="59"/>
  <c r="B7" i="59"/>
  <c r="B6" i="59"/>
  <c r="B5" i="59"/>
  <c r="B4" i="59"/>
  <c r="B2" i="59"/>
  <c r="S27" i="1"/>
  <c r="S26" i="1"/>
  <c r="S23" i="1"/>
  <c r="S17" i="1"/>
  <c r="S16" i="1"/>
  <c r="S12" i="1"/>
  <c r="S11" i="1"/>
  <c r="S10" i="1"/>
  <c r="S78" i="1"/>
  <c r="S77" i="1"/>
  <c r="S76" i="1"/>
  <c r="S74" i="1"/>
  <c r="S73" i="1"/>
  <c r="S72" i="1"/>
  <c r="S71" i="1"/>
  <c r="S70" i="1"/>
  <c r="S66" i="1"/>
  <c r="S65" i="1"/>
  <c r="S64" i="1"/>
  <c r="S190" i="1"/>
  <c r="D1" i="1"/>
  <c r="S162" i="1"/>
  <c r="S161" i="1"/>
  <c r="S159" i="1"/>
  <c r="S158" i="1"/>
  <c r="S157" i="1"/>
  <c r="S156" i="1"/>
  <c r="S155" i="1"/>
  <c r="S154" i="1"/>
  <c r="S153" i="1"/>
  <c r="D25" i="16"/>
  <c r="D4" i="62" s="1"/>
  <c r="O21" i="12"/>
  <c r="M43" i="1" s="1"/>
  <c r="B37" i="65" s="1"/>
  <c r="O33" i="16"/>
  <c r="H27" i="1" s="1"/>
  <c r="G27" i="1" s="1"/>
  <c r="O10" i="16"/>
  <c r="H7" i="1" s="1"/>
  <c r="O11" i="16"/>
  <c r="O12" i="16"/>
  <c r="O13" i="16"/>
  <c r="O14" i="16"/>
  <c r="H11" i="1" s="1"/>
  <c r="G11" i="1" s="1"/>
  <c r="O15" i="16"/>
  <c r="H12" i="1" s="1"/>
  <c r="G12" i="1" s="1"/>
  <c r="O17" i="16"/>
  <c r="H14" i="1" s="1"/>
  <c r="G14" i="1" s="1"/>
  <c r="O18" i="16"/>
  <c r="H15" i="1" s="1"/>
  <c r="G15" i="1" s="1"/>
  <c r="O20" i="16"/>
  <c r="H17" i="1" s="1"/>
  <c r="G17" i="1" s="1"/>
  <c r="O24" i="16"/>
  <c r="H21" i="1" s="1"/>
  <c r="G21" i="1" s="1"/>
  <c r="S28" i="1"/>
  <c r="P33" i="16"/>
  <c r="M27" i="1" s="1"/>
  <c r="B22" i="65" s="1"/>
  <c r="P34" i="16"/>
  <c r="M28" i="1" s="1"/>
  <c r="B23" i="65" s="1"/>
  <c r="O34" i="16"/>
  <c r="H28" i="1" s="1"/>
  <c r="G28" i="1" s="1"/>
  <c r="P32" i="16"/>
  <c r="M26" i="1" s="1"/>
  <c r="B21" i="65" s="1"/>
  <c r="P31" i="16"/>
  <c r="M25" i="1" s="1"/>
  <c r="B20" i="65" s="1"/>
  <c r="O31" i="16"/>
  <c r="H25" i="1" s="1"/>
  <c r="G25" i="1" s="1"/>
  <c r="O32" i="16"/>
  <c r="H26" i="1" s="1"/>
  <c r="G26" i="1" s="1"/>
  <c r="S42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89" i="1"/>
  <c r="S152" i="1"/>
  <c r="S151" i="1"/>
  <c r="S150" i="1"/>
  <c r="G71" i="12"/>
  <c r="E6" i="62" s="1"/>
  <c r="D6" i="62"/>
  <c r="P24" i="16"/>
  <c r="M21" i="1" s="1"/>
  <c r="B17" i="65" s="1"/>
  <c r="B120" i="1"/>
  <c r="A293" i="1"/>
  <c r="H7" i="24"/>
  <c r="B10" i="24"/>
  <c r="M70" i="1"/>
  <c r="B64" i="65" s="1"/>
  <c r="M71" i="1"/>
  <c r="B65" i="65" s="1"/>
  <c r="M72" i="1"/>
  <c r="B66" i="65" s="1"/>
  <c r="M73" i="1"/>
  <c r="B67" i="65" s="1"/>
  <c r="M74" i="1"/>
  <c r="B68" i="65" s="1"/>
  <c r="M75" i="1"/>
  <c r="B69" i="65" s="1"/>
  <c r="M76" i="1"/>
  <c r="B70" i="65" s="1"/>
  <c r="N48" i="12"/>
  <c r="N49" i="12"/>
  <c r="H71" i="1" s="1"/>
  <c r="G71" i="1" s="1"/>
  <c r="N50" i="12"/>
  <c r="H72" i="1" s="1"/>
  <c r="G72" i="1" s="1"/>
  <c r="N51" i="12"/>
  <c r="H73" i="1" s="1"/>
  <c r="G73" i="1" s="1"/>
  <c r="N52" i="12"/>
  <c r="H74" i="1" s="1"/>
  <c r="G74" i="1" s="1"/>
  <c r="N53" i="12"/>
  <c r="H75" i="1" s="1"/>
  <c r="G75" i="1" s="1"/>
  <c r="N54" i="12"/>
  <c r="H76" i="1" s="1"/>
  <c r="G76" i="1" s="1"/>
  <c r="N55" i="12"/>
  <c r="H77" i="1" s="1"/>
  <c r="G77" i="1" s="1"/>
  <c r="P30" i="16"/>
  <c r="M24" i="1" s="1"/>
  <c r="B19" i="65" s="1"/>
  <c r="O29" i="16"/>
  <c r="O30" i="16"/>
  <c r="H24" i="1" s="1"/>
  <c r="G24" i="1" s="1"/>
  <c r="M67" i="1"/>
  <c r="B61" i="65" s="1"/>
  <c r="M68" i="1"/>
  <c r="B62" i="65" s="1"/>
  <c r="M69" i="1"/>
  <c r="B63" i="65" s="1"/>
  <c r="N45" i="12"/>
  <c r="H67" i="1" s="1"/>
  <c r="G67" i="1" s="1"/>
  <c r="N46" i="12"/>
  <c r="H68" i="1" s="1"/>
  <c r="G68" i="1" s="1"/>
  <c r="N47" i="12"/>
  <c r="H69" i="1" s="1"/>
  <c r="G69" i="1" s="1"/>
  <c r="K3" i="22"/>
  <c r="E270" i="1"/>
  <c r="H270" i="1" s="1"/>
  <c r="F7" i="22" s="1"/>
  <c r="E269" i="1"/>
  <c r="H269" i="1" s="1"/>
  <c r="F19" i="22" s="1"/>
  <c r="M268" i="1"/>
  <c r="M271" i="1"/>
  <c r="M269" i="1"/>
  <c r="M266" i="1"/>
  <c r="M270" i="1"/>
  <c r="S95" i="1"/>
  <c r="S94" i="1"/>
  <c r="I125" i="30"/>
  <c r="E125" i="30"/>
  <c r="O76" i="12"/>
  <c r="M95" i="1" s="1"/>
  <c r="B79" i="65" s="1"/>
  <c r="O75" i="12"/>
  <c r="M94" i="1" s="1"/>
  <c r="B78" i="65" s="1"/>
  <c r="M66" i="1"/>
  <c r="B60" i="65" s="1"/>
  <c r="N44" i="12"/>
  <c r="H66" i="1" s="1"/>
  <c r="G66" i="1" s="1"/>
  <c r="N43" i="12"/>
  <c r="H65" i="1" s="1"/>
  <c r="G65" i="1" s="1"/>
  <c r="O42" i="12"/>
  <c r="M64" i="1" s="1"/>
  <c r="B58" i="65" s="1"/>
  <c r="N42" i="12"/>
  <c r="H64" i="1" s="1"/>
  <c r="G64" i="1" s="1"/>
  <c r="O41" i="12"/>
  <c r="M63" i="1" s="1"/>
  <c r="B57" i="65" s="1"/>
  <c r="N41" i="12"/>
  <c r="H63" i="1" s="1"/>
  <c r="G63" i="1" s="1"/>
  <c r="O40" i="12"/>
  <c r="M62" i="1" s="1"/>
  <c r="B56" i="65" s="1"/>
  <c r="N40" i="12"/>
  <c r="H62" i="1" s="1"/>
  <c r="G62" i="1" s="1"/>
  <c r="O39" i="12"/>
  <c r="M61" i="1" s="1"/>
  <c r="B55" i="65" s="1"/>
  <c r="O38" i="12"/>
  <c r="M60" i="1" s="1"/>
  <c r="B54" i="65" s="1"/>
  <c r="N38" i="12"/>
  <c r="H60" i="1" s="1"/>
  <c r="G60" i="1" s="1"/>
  <c r="O37" i="12"/>
  <c r="M59" i="1" s="1"/>
  <c r="B53" i="65" s="1"/>
  <c r="N37" i="12"/>
  <c r="H59" i="1" s="1"/>
  <c r="G59" i="1" s="1"/>
  <c r="O36" i="12"/>
  <c r="M58" i="1" s="1"/>
  <c r="B52" i="65" s="1"/>
  <c r="N36" i="12"/>
  <c r="H58" i="1" s="1"/>
  <c r="G58" i="1" s="1"/>
  <c r="O35" i="12"/>
  <c r="M57" i="1" s="1"/>
  <c r="B51" i="65" s="1"/>
  <c r="N35" i="12"/>
  <c r="H57" i="1" s="1"/>
  <c r="G57" i="1" s="1"/>
  <c r="O34" i="12"/>
  <c r="M56" i="1" s="1"/>
  <c r="B50" i="65" s="1"/>
  <c r="N34" i="12"/>
  <c r="H56" i="1" s="1"/>
  <c r="G56" i="1" s="1"/>
  <c r="O33" i="12"/>
  <c r="M55" i="1" s="1"/>
  <c r="B49" i="65" s="1"/>
  <c r="N33" i="12"/>
  <c r="H55" i="1" s="1"/>
  <c r="G55" i="1" s="1"/>
  <c r="O32" i="12"/>
  <c r="M54" i="1" s="1"/>
  <c r="B48" i="65" s="1"/>
  <c r="N32" i="12"/>
  <c r="H54" i="1" s="1"/>
  <c r="G54" i="1" s="1"/>
  <c r="O31" i="12"/>
  <c r="M53" i="1" s="1"/>
  <c r="B47" i="65" s="1"/>
  <c r="N31" i="12"/>
  <c r="H53" i="1" s="1"/>
  <c r="G53" i="1" s="1"/>
  <c r="O30" i="12"/>
  <c r="M52" i="1" s="1"/>
  <c r="B46" i="65" s="1"/>
  <c r="N30" i="12"/>
  <c r="H52" i="1" s="1"/>
  <c r="G52" i="1" s="1"/>
  <c r="O29" i="12"/>
  <c r="M51" i="1" s="1"/>
  <c r="B45" i="65" s="1"/>
  <c r="N29" i="12"/>
  <c r="H51" i="1" s="1"/>
  <c r="G51" i="1" s="1"/>
  <c r="O28" i="12"/>
  <c r="M50" i="1" s="1"/>
  <c r="B44" i="65" s="1"/>
  <c r="N28" i="12"/>
  <c r="H50" i="1" s="1"/>
  <c r="G50" i="1" s="1"/>
  <c r="O27" i="12"/>
  <c r="M49" i="1" s="1"/>
  <c r="B43" i="65" s="1"/>
  <c r="N27" i="12"/>
  <c r="H49" i="1" s="1"/>
  <c r="G49" i="1" s="1"/>
  <c r="O26" i="12"/>
  <c r="M48" i="1" s="1"/>
  <c r="B42" i="65" s="1"/>
  <c r="N26" i="12"/>
  <c r="H48" i="1" s="1"/>
  <c r="G48" i="1" s="1"/>
  <c r="O25" i="12"/>
  <c r="M47" i="1" s="1"/>
  <c r="B41" i="65" s="1"/>
  <c r="N25" i="12"/>
  <c r="H47" i="1" s="1"/>
  <c r="G47" i="1" s="1"/>
  <c r="O24" i="12"/>
  <c r="M46" i="1" s="1"/>
  <c r="B40" i="65" s="1"/>
  <c r="N24" i="12"/>
  <c r="H46" i="1" s="1"/>
  <c r="G46" i="1" s="1"/>
  <c r="O23" i="12"/>
  <c r="M45" i="1" s="1"/>
  <c r="B39" i="65" s="1"/>
  <c r="O22" i="12"/>
  <c r="M44" i="1" s="1"/>
  <c r="B38" i="65" s="1"/>
  <c r="N22" i="12"/>
  <c r="H44" i="1" s="1"/>
  <c r="G44" i="1" s="1"/>
  <c r="N21" i="12"/>
  <c r="H43" i="1" s="1"/>
  <c r="G43" i="1" s="1"/>
  <c r="O20" i="12"/>
  <c r="M42" i="1" s="1"/>
  <c r="B36" i="65" s="1"/>
  <c r="N20" i="12"/>
  <c r="H42" i="1" s="1"/>
  <c r="G42" i="1" s="1"/>
  <c r="O19" i="12"/>
  <c r="M41" i="1" s="1"/>
  <c r="B35" i="65" s="1"/>
  <c r="N19" i="12"/>
  <c r="H41" i="1" s="1"/>
  <c r="G41" i="1" s="1"/>
  <c r="O18" i="12"/>
  <c r="M40" i="1" s="1"/>
  <c r="B34" i="65" s="1"/>
  <c r="N18" i="12"/>
  <c r="H40" i="1" s="1"/>
  <c r="G40" i="1" s="1"/>
  <c r="O17" i="12"/>
  <c r="M39" i="1" s="1"/>
  <c r="B33" i="65" s="1"/>
  <c r="N17" i="12"/>
  <c r="H39" i="1" s="1"/>
  <c r="G39" i="1" s="1"/>
  <c r="O16" i="12"/>
  <c r="M38" i="1" s="1"/>
  <c r="B32" i="65" s="1"/>
  <c r="N16" i="12"/>
  <c r="H38" i="1" s="1"/>
  <c r="G38" i="1" s="1"/>
  <c r="N15" i="12"/>
  <c r="H37" i="1" s="1"/>
  <c r="G37" i="1" s="1"/>
  <c r="N14" i="12"/>
  <c r="H36" i="1" s="1"/>
  <c r="G36" i="1" s="1"/>
  <c r="O13" i="12"/>
  <c r="M35" i="1" s="1"/>
  <c r="B29" i="65" s="1"/>
  <c r="N13" i="12"/>
  <c r="H35" i="1" s="1"/>
  <c r="G35" i="1" s="1"/>
  <c r="O12" i="12"/>
  <c r="M34" i="1" s="1"/>
  <c r="B28" i="65" s="1"/>
  <c r="N12" i="12"/>
  <c r="H34" i="1" s="1"/>
  <c r="G34" i="1" s="1"/>
  <c r="O11" i="12"/>
  <c r="M33" i="1" s="1"/>
  <c r="B27" i="65" s="1"/>
  <c r="N11" i="12"/>
  <c r="H33" i="1" s="1"/>
  <c r="G33" i="1" s="1"/>
  <c r="O10" i="12"/>
  <c r="M32" i="1" s="1"/>
  <c r="B26" i="65" s="1"/>
  <c r="N10" i="12"/>
  <c r="P29" i="18"/>
  <c r="P12" i="18"/>
  <c r="M101" i="1" s="1"/>
  <c r="B84" i="65" s="1"/>
  <c r="O12" i="18"/>
  <c r="H101" i="1" s="1"/>
  <c r="G101" i="1" s="1"/>
  <c r="P11" i="18"/>
  <c r="M100" i="1" s="1"/>
  <c r="B83" i="65" s="1"/>
  <c r="O11" i="18"/>
  <c r="H100" i="1" s="1"/>
  <c r="G100" i="1" s="1"/>
  <c r="E4" i="62"/>
  <c r="P17" i="16"/>
  <c r="M14" i="1" s="1"/>
  <c r="B10" i="65" s="1"/>
  <c r="P16" i="16"/>
  <c r="M13" i="1" s="1"/>
  <c r="B9" i="65" s="1"/>
  <c r="P15" i="16"/>
  <c r="M12" i="1" s="1"/>
  <c r="B8" i="65" s="1"/>
  <c r="P14" i="16"/>
  <c r="M11" i="1" s="1"/>
  <c r="B7" i="65" s="1"/>
  <c r="P13" i="16"/>
  <c r="M10" i="1" s="1"/>
  <c r="B6" i="65" s="1"/>
  <c r="P12" i="16"/>
  <c r="M9" i="1" s="1"/>
  <c r="B5" i="65" s="1"/>
  <c r="P11" i="16"/>
  <c r="M8" i="1" s="1"/>
  <c r="B4" i="65" s="1"/>
  <c r="M7" i="1"/>
  <c r="B3" i="65" s="1"/>
  <c r="P9" i="16"/>
  <c r="M6" i="1" s="1"/>
  <c r="B2" i="65" s="1"/>
  <c r="O9" i="16"/>
  <c r="N294" i="1"/>
  <c r="D294" i="1"/>
  <c r="W292" i="1"/>
  <c r="W291" i="1"/>
  <c r="N291" i="1"/>
  <c r="H291" i="1"/>
  <c r="D291" i="1"/>
  <c r="N290" i="1"/>
  <c r="H290" i="1"/>
  <c r="D290" i="1"/>
  <c r="W289" i="1"/>
  <c r="N289" i="1"/>
  <c r="H289" i="1"/>
  <c r="D289" i="1"/>
  <c r="N288" i="1"/>
  <c r="D288" i="1"/>
  <c r="E277" i="1"/>
  <c r="H277" i="1" s="1"/>
  <c r="E276" i="1"/>
  <c r="H276" i="1" s="1"/>
  <c r="H275" i="1"/>
  <c r="M274" i="1"/>
  <c r="E274" i="1"/>
  <c r="H274" i="1" s="1"/>
  <c r="E271" i="1"/>
  <c r="H271" i="1" s="1"/>
  <c r="F8" i="22" s="1"/>
  <c r="H268" i="1"/>
  <c r="F18" i="22" s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5" i="1"/>
  <c r="S44" i="1"/>
  <c r="S43" i="1"/>
  <c r="S41" i="1"/>
  <c r="S40" i="1"/>
  <c r="S39" i="1"/>
  <c r="S38" i="1"/>
  <c r="B37" i="1"/>
  <c r="S36" i="1"/>
  <c r="S35" i="1"/>
  <c r="S34" i="1"/>
  <c r="B34" i="1"/>
  <c r="S33" i="1"/>
  <c r="S32" i="1"/>
  <c r="B8" i="1"/>
  <c r="B26" i="24"/>
  <c r="B25" i="24"/>
  <c r="B24" i="24"/>
  <c r="B23" i="24"/>
  <c r="B22" i="24"/>
  <c r="B21" i="24"/>
  <c r="B20" i="24"/>
  <c r="B19" i="24"/>
  <c r="B18" i="24"/>
  <c r="B17" i="24"/>
  <c r="B16" i="24"/>
  <c r="B15" i="24"/>
  <c r="H11" i="24"/>
  <c r="B11" i="24"/>
  <c r="H10" i="24"/>
  <c r="H9" i="24"/>
  <c r="B9" i="24"/>
  <c r="H8" i="24"/>
  <c r="B8" i="24"/>
  <c r="H6" i="24"/>
  <c r="B6" i="24"/>
  <c r="H5" i="24"/>
  <c r="B5" i="24"/>
  <c r="H4" i="24"/>
  <c r="B4" i="24"/>
  <c r="B2" i="24"/>
  <c r="E16" i="20"/>
  <c r="E13" i="20"/>
  <c r="B3" i="20"/>
  <c r="C3" i="22"/>
  <c r="F11" i="24"/>
  <c r="C11" i="24"/>
  <c r="F5" i="20"/>
  <c r="G5" i="20" s="1"/>
  <c r="E15" i="20"/>
  <c r="E11" i="24"/>
  <c r="E14" i="20"/>
  <c r="F10" i="24"/>
  <c r="E10" i="24"/>
  <c r="H288" i="1"/>
  <c r="M267" i="1"/>
  <c r="L25" i="16"/>
  <c r="F4" i="62" s="1"/>
  <c r="O16" i="16"/>
  <c r="F72" i="12"/>
  <c r="R258" i="1" l="1"/>
  <c r="Q258" i="1"/>
  <c r="H32" i="1"/>
  <c r="G32" i="1" s="1"/>
  <c r="N72" i="12"/>
  <c r="M148" i="1"/>
  <c r="B130" i="65" s="1"/>
  <c r="C74" i="65"/>
  <c r="D74" i="65" s="1"/>
  <c r="E74" i="65" s="1"/>
  <c r="G80" i="1"/>
  <c r="C121" i="65"/>
  <c r="G139" i="1"/>
  <c r="C120" i="65"/>
  <c r="G138" i="1"/>
  <c r="H6" i="1"/>
  <c r="I6" i="1" s="1"/>
  <c r="C119" i="65"/>
  <c r="G137" i="1"/>
  <c r="C118" i="65"/>
  <c r="D118" i="65" s="1"/>
  <c r="E118" i="65" s="1"/>
  <c r="G136" i="1"/>
  <c r="C76" i="65"/>
  <c r="D76" i="65" s="1"/>
  <c r="E76" i="65" s="1"/>
  <c r="G82" i="1"/>
  <c r="C75" i="65"/>
  <c r="D75" i="65" s="1"/>
  <c r="E75" i="65" s="1"/>
  <c r="G81" i="1"/>
  <c r="G7" i="1"/>
  <c r="C3" i="65"/>
  <c r="D3" i="65" s="1"/>
  <c r="E3" i="65" s="1"/>
  <c r="C77" i="65"/>
  <c r="D77" i="65" s="1"/>
  <c r="E77" i="65" s="1"/>
  <c r="G83" i="1"/>
  <c r="G118" i="1"/>
  <c r="H8" i="59" s="1"/>
  <c r="G98" i="1"/>
  <c r="H7" i="59" s="1"/>
  <c r="H23" i="1"/>
  <c r="G23" i="1" s="1"/>
  <c r="G31" i="1" s="1"/>
  <c r="O37" i="16"/>
  <c r="O38" i="16" s="1"/>
  <c r="H10" i="1"/>
  <c r="H8" i="1"/>
  <c r="H9" i="1"/>
  <c r="I100" i="1"/>
  <c r="K100" i="1" s="1"/>
  <c r="O100" i="1" s="1"/>
  <c r="C83" i="65"/>
  <c r="D83" i="65" s="1"/>
  <c r="E83" i="65" s="1"/>
  <c r="I62" i="1"/>
  <c r="K62" i="1" s="1"/>
  <c r="O62" i="1" s="1"/>
  <c r="C56" i="65"/>
  <c r="D56" i="65" s="1"/>
  <c r="E56" i="65" s="1"/>
  <c r="I68" i="1"/>
  <c r="K68" i="1" s="1"/>
  <c r="O68" i="1" s="1"/>
  <c r="C62" i="65"/>
  <c r="D62" i="65" s="1"/>
  <c r="E62" i="65" s="1"/>
  <c r="I77" i="1"/>
  <c r="K77" i="1" s="1"/>
  <c r="O77" i="1" s="1"/>
  <c r="C71" i="65"/>
  <c r="D71" i="65" s="1"/>
  <c r="E71" i="65" s="1"/>
  <c r="I25" i="1"/>
  <c r="J25" i="1" s="1"/>
  <c r="N25" i="1" s="1"/>
  <c r="C20" i="65"/>
  <c r="D20" i="65" s="1"/>
  <c r="E20" i="65" s="1"/>
  <c r="I17" i="1"/>
  <c r="J17" i="1" s="1"/>
  <c r="C13" i="65"/>
  <c r="D13" i="65" s="1"/>
  <c r="E13" i="65" s="1"/>
  <c r="I45" i="1"/>
  <c r="K45" i="1" s="1"/>
  <c r="O45" i="1" s="1"/>
  <c r="C39" i="65"/>
  <c r="D39" i="65" s="1"/>
  <c r="E39" i="65" s="1"/>
  <c r="I19" i="1"/>
  <c r="J19" i="1" s="1"/>
  <c r="C15" i="65"/>
  <c r="D15" i="65" s="1"/>
  <c r="E15" i="65" s="1"/>
  <c r="I109" i="1"/>
  <c r="J109" i="1" s="1"/>
  <c r="C92" i="65"/>
  <c r="D92" i="65" s="1"/>
  <c r="E92" i="65" s="1"/>
  <c r="I113" i="1"/>
  <c r="J113" i="1" s="1"/>
  <c r="C96" i="65"/>
  <c r="D96" i="65" s="1"/>
  <c r="E96" i="65" s="1"/>
  <c r="I117" i="1"/>
  <c r="K117" i="1" s="1"/>
  <c r="C100" i="65"/>
  <c r="I218" i="1"/>
  <c r="J218" i="1" s="1"/>
  <c r="C202" i="65"/>
  <c r="D202" i="65" s="1"/>
  <c r="E202" i="65" s="1"/>
  <c r="I208" i="1"/>
  <c r="J208" i="1" s="1"/>
  <c r="C190" i="65"/>
  <c r="D190" i="65" s="1"/>
  <c r="E190" i="65" s="1"/>
  <c r="I204" i="1"/>
  <c r="K204" i="1" s="1"/>
  <c r="O204" i="1" s="1"/>
  <c r="C186" i="65"/>
  <c r="D186" i="65" s="1"/>
  <c r="E186" i="65" s="1"/>
  <c r="I195" i="1"/>
  <c r="K195" i="1" s="1"/>
  <c r="O195" i="1" s="1"/>
  <c r="C177" i="65"/>
  <c r="D177" i="65" s="1"/>
  <c r="E177" i="65" s="1"/>
  <c r="I175" i="1"/>
  <c r="J175" i="1" s="1"/>
  <c r="L175" i="1" s="1"/>
  <c r="C157" i="65"/>
  <c r="D157" i="65" s="1"/>
  <c r="E157" i="65" s="1"/>
  <c r="I159" i="1"/>
  <c r="J159" i="1" s="1"/>
  <c r="L159" i="1" s="1"/>
  <c r="C141" i="65"/>
  <c r="D141" i="65" s="1"/>
  <c r="E141" i="65" s="1"/>
  <c r="C129" i="65"/>
  <c r="D129" i="65" s="1"/>
  <c r="E129" i="65" s="1"/>
  <c r="I134" i="1"/>
  <c r="K134" i="1" s="1"/>
  <c r="O134" i="1" s="1"/>
  <c r="C116" i="65"/>
  <c r="D116" i="65" s="1"/>
  <c r="E116" i="65" s="1"/>
  <c r="I94" i="1"/>
  <c r="K94" i="1" s="1"/>
  <c r="O94" i="1" s="1"/>
  <c r="C78" i="65"/>
  <c r="D78" i="65" s="1"/>
  <c r="E78" i="65" s="1"/>
  <c r="I187" i="1"/>
  <c r="J187" i="1" s="1"/>
  <c r="C169" i="65"/>
  <c r="D169" i="65" s="1"/>
  <c r="E169" i="65" s="1"/>
  <c r="I96" i="1"/>
  <c r="K96" i="1" s="1"/>
  <c r="C80" i="65"/>
  <c r="D80" i="65" s="1"/>
  <c r="E80" i="65" s="1"/>
  <c r="I39" i="1"/>
  <c r="K39" i="1" s="1"/>
  <c r="O39" i="1" s="1"/>
  <c r="C33" i="65"/>
  <c r="D33" i="65" s="1"/>
  <c r="E33" i="65" s="1"/>
  <c r="I43" i="1"/>
  <c r="K43" i="1" s="1"/>
  <c r="O43" i="1" s="1"/>
  <c r="C37" i="65"/>
  <c r="D37" i="65" s="1"/>
  <c r="E37" i="65" s="1"/>
  <c r="I48" i="1"/>
  <c r="K48" i="1" s="1"/>
  <c r="O48" i="1" s="1"/>
  <c r="C42" i="65"/>
  <c r="D42" i="65" s="1"/>
  <c r="E42" i="65" s="1"/>
  <c r="I54" i="1"/>
  <c r="K54" i="1" s="1"/>
  <c r="O54" i="1" s="1"/>
  <c r="C48" i="65"/>
  <c r="D48" i="65" s="1"/>
  <c r="E48" i="65" s="1"/>
  <c r="I64" i="1"/>
  <c r="K64" i="1" s="1"/>
  <c r="O64" i="1" s="1"/>
  <c r="C58" i="65"/>
  <c r="D58" i="65" s="1"/>
  <c r="E58" i="65" s="1"/>
  <c r="I73" i="1"/>
  <c r="K73" i="1" s="1"/>
  <c r="O73" i="1" s="1"/>
  <c r="C67" i="65"/>
  <c r="D67" i="65" s="1"/>
  <c r="E67" i="65" s="1"/>
  <c r="I11" i="1"/>
  <c r="K11" i="1" s="1"/>
  <c r="O11" i="1" s="1"/>
  <c r="C7" i="65"/>
  <c r="D7" i="65" s="1"/>
  <c r="E7" i="65" s="1"/>
  <c r="I103" i="1"/>
  <c r="J103" i="1" s="1"/>
  <c r="L103" i="1" s="1"/>
  <c r="C86" i="65"/>
  <c r="D86" i="65" s="1"/>
  <c r="E86" i="65" s="1"/>
  <c r="I106" i="1"/>
  <c r="K106" i="1" s="1"/>
  <c r="O106" i="1" s="1"/>
  <c r="C89" i="65"/>
  <c r="D89" i="65" s="1"/>
  <c r="E89" i="65" s="1"/>
  <c r="I30" i="1"/>
  <c r="J30" i="1" s="1"/>
  <c r="N30" i="1" s="1"/>
  <c r="C25" i="65"/>
  <c r="D25" i="65" s="1"/>
  <c r="E25" i="65" s="1"/>
  <c r="I115" i="1"/>
  <c r="K115" i="1" s="1"/>
  <c r="O115" i="1" s="1"/>
  <c r="C98" i="65"/>
  <c r="D98" i="65" s="1"/>
  <c r="E98" i="65" s="1"/>
  <c r="I99" i="1"/>
  <c r="K99" i="1" s="1"/>
  <c r="O99" i="1" s="1"/>
  <c r="C82" i="65"/>
  <c r="D82" i="65" s="1"/>
  <c r="E82" i="65" s="1"/>
  <c r="I222" i="1"/>
  <c r="K222" i="1" s="1"/>
  <c r="O222" i="1" s="1"/>
  <c r="C206" i="65"/>
  <c r="D206" i="65" s="1"/>
  <c r="E206" i="65" s="1"/>
  <c r="C198" i="65"/>
  <c r="D198" i="65" s="1"/>
  <c r="E198" i="65" s="1"/>
  <c r="I212" i="1"/>
  <c r="K212" i="1" s="1"/>
  <c r="O212" i="1" s="1"/>
  <c r="C194" i="65"/>
  <c r="D194" i="65" s="1"/>
  <c r="E194" i="65" s="1"/>
  <c r="I200" i="1"/>
  <c r="K200" i="1" s="1"/>
  <c r="O200" i="1" s="1"/>
  <c r="C182" i="65"/>
  <c r="D182" i="65" s="1"/>
  <c r="E182" i="65" s="1"/>
  <c r="I191" i="1"/>
  <c r="K191" i="1" s="1"/>
  <c r="O191" i="1" s="1"/>
  <c r="C173" i="65"/>
  <c r="D173" i="65" s="1"/>
  <c r="E173" i="65" s="1"/>
  <c r="I179" i="1"/>
  <c r="J179" i="1" s="1"/>
  <c r="L179" i="1" s="1"/>
  <c r="C161" i="65"/>
  <c r="D161" i="65" s="1"/>
  <c r="E161" i="65" s="1"/>
  <c r="I167" i="1"/>
  <c r="K167" i="1" s="1"/>
  <c r="O167" i="1" s="1"/>
  <c r="C149" i="65"/>
  <c r="D149" i="65" s="1"/>
  <c r="E149" i="65" s="1"/>
  <c r="I163" i="1"/>
  <c r="J163" i="1" s="1"/>
  <c r="L163" i="1" s="1"/>
  <c r="C145" i="65"/>
  <c r="D145" i="65" s="1"/>
  <c r="E145" i="65" s="1"/>
  <c r="I155" i="1"/>
  <c r="J155" i="1" s="1"/>
  <c r="L155" i="1" s="1"/>
  <c r="C137" i="65"/>
  <c r="D137" i="65" s="1"/>
  <c r="E137" i="65" s="1"/>
  <c r="I151" i="1"/>
  <c r="J151" i="1" s="1"/>
  <c r="N151" i="1" s="1"/>
  <c r="C133" i="65"/>
  <c r="D133" i="65" s="1"/>
  <c r="E133" i="65" s="1"/>
  <c r="I144" i="1"/>
  <c r="K144" i="1" s="1"/>
  <c r="C125" i="65"/>
  <c r="D125" i="65" s="1"/>
  <c r="E125" i="65" s="1"/>
  <c r="I130" i="1"/>
  <c r="J130" i="1" s="1"/>
  <c r="N130" i="1" s="1"/>
  <c r="C112" i="65"/>
  <c r="D112" i="65" s="1"/>
  <c r="E112" i="65" s="1"/>
  <c r="I126" i="1"/>
  <c r="K126" i="1" s="1"/>
  <c r="O126" i="1" s="1"/>
  <c r="C108" i="65"/>
  <c r="D108" i="65" s="1"/>
  <c r="E108" i="65" s="1"/>
  <c r="I121" i="1"/>
  <c r="K121" i="1" s="1"/>
  <c r="O121" i="1" s="1"/>
  <c r="C103" i="65"/>
  <c r="D103" i="65" s="1"/>
  <c r="E103" i="65" s="1"/>
  <c r="I224" i="1"/>
  <c r="K224" i="1" s="1"/>
  <c r="O224" i="1" s="1"/>
  <c r="C208" i="65"/>
  <c r="D208" i="65" s="1"/>
  <c r="E208" i="65" s="1"/>
  <c r="I233" i="1"/>
  <c r="K233" i="1" s="1"/>
  <c r="O233" i="1" s="1"/>
  <c r="C220" i="65"/>
  <c r="D220" i="65" s="1"/>
  <c r="E220" i="65" s="1"/>
  <c r="I230" i="1"/>
  <c r="K230" i="1" s="1"/>
  <c r="O230" i="1" s="1"/>
  <c r="C215" i="65"/>
  <c r="D215" i="65" s="1"/>
  <c r="E215" i="65" s="1"/>
  <c r="I227" i="1"/>
  <c r="K227" i="1" s="1"/>
  <c r="O227" i="1" s="1"/>
  <c r="C211" i="65"/>
  <c r="D211" i="65" s="1"/>
  <c r="E211" i="65" s="1"/>
  <c r="I183" i="1"/>
  <c r="K183" i="1" s="1"/>
  <c r="C165" i="65"/>
  <c r="D165" i="65" s="1"/>
  <c r="E165" i="65" s="1"/>
  <c r="I34" i="1"/>
  <c r="J34" i="1" s="1"/>
  <c r="C28" i="65"/>
  <c r="D28" i="65" s="1"/>
  <c r="E28" i="65" s="1"/>
  <c r="I36" i="1"/>
  <c r="K36" i="1" s="1"/>
  <c r="O36" i="1" s="1"/>
  <c r="C30" i="65"/>
  <c r="D30" i="65" s="1"/>
  <c r="E30" i="65" s="1"/>
  <c r="I41" i="1"/>
  <c r="K41" i="1" s="1"/>
  <c r="O41" i="1" s="1"/>
  <c r="C35" i="65"/>
  <c r="D35" i="65" s="1"/>
  <c r="E35" i="65" s="1"/>
  <c r="I46" i="1"/>
  <c r="K46" i="1" s="1"/>
  <c r="O46" i="1" s="1"/>
  <c r="C40" i="65"/>
  <c r="D40" i="65" s="1"/>
  <c r="E40" i="65" s="1"/>
  <c r="I50" i="1"/>
  <c r="J50" i="1" s="1"/>
  <c r="L50" i="1" s="1"/>
  <c r="C44" i="65"/>
  <c r="D44" i="65" s="1"/>
  <c r="E44" i="65" s="1"/>
  <c r="I52" i="1"/>
  <c r="K52" i="1" s="1"/>
  <c r="O52" i="1" s="1"/>
  <c r="C46" i="65"/>
  <c r="D46" i="65" s="1"/>
  <c r="E46" i="65" s="1"/>
  <c r="I56" i="1"/>
  <c r="J56" i="1" s="1"/>
  <c r="C50" i="65"/>
  <c r="D50" i="65" s="1"/>
  <c r="E50" i="65" s="1"/>
  <c r="I58" i="1"/>
  <c r="J58" i="1" s="1"/>
  <c r="C52" i="65"/>
  <c r="D52" i="65" s="1"/>
  <c r="E52" i="65" s="1"/>
  <c r="I60" i="1"/>
  <c r="K60" i="1" s="1"/>
  <c r="O60" i="1" s="1"/>
  <c r="C54" i="65"/>
  <c r="D54" i="65" s="1"/>
  <c r="E54" i="65" s="1"/>
  <c r="I67" i="1"/>
  <c r="K67" i="1" s="1"/>
  <c r="O67" i="1" s="1"/>
  <c r="C61" i="65"/>
  <c r="D61" i="65" s="1"/>
  <c r="E61" i="65" s="1"/>
  <c r="I24" i="1"/>
  <c r="J24" i="1" s="1"/>
  <c r="L24" i="1" s="1"/>
  <c r="C19" i="65"/>
  <c r="D19" i="65" s="1"/>
  <c r="E19" i="65" s="1"/>
  <c r="I76" i="1"/>
  <c r="J76" i="1" s="1"/>
  <c r="C70" i="65"/>
  <c r="D70" i="65" s="1"/>
  <c r="E70" i="65" s="1"/>
  <c r="I72" i="1"/>
  <c r="J72" i="1" s="1"/>
  <c r="C66" i="65"/>
  <c r="D66" i="65" s="1"/>
  <c r="E66" i="65" s="1"/>
  <c r="I15" i="1"/>
  <c r="J15" i="1" s="1"/>
  <c r="C11" i="65"/>
  <c r="D11" i="65" s="1"/>
  <c r="E11" i="65" s="1"/>
  <c r="I27" i="1"/>
  <c r="K27" i="1" s="1"/>
  <c r="O27" i="1" s="1"/>
  <c r="C22" i="65"/>
  <c r="D22" i="65" s="1"/>
  <c r="E22" i="65" s="1"/>
  <c r="I104" i="1"/>
  <c r="K104" i="1" s="1"/>
  <c r="O104" i="1" s="1"/>
  <c r="C87" i="65"/>
  <c r="D87" i="65" s="1"/>
  <c r="E87" i="65" s="1"/>
  <c r="I107" i="1"/>
  <c r="J107" i="1" s="1"/>
  <c r="C90" i="65"/>
  <c r="D90" i="65" s="1"/>
  <c r="E90" i="65" s="1"/>
  <c r="I111" i="1"/>
  <c r="K111" i="1" s="1"/>
  <c r="O111" i="1" s="1"/>
  <c r="C94" i="65"/>
  <c r="D94" i="65" s="1"/>
  <c r="E94" i="65" s="1"/>
  <c r="I78" i="1"/>
  <c r="K78" i="1" s="1"/>
  <c r="O78" i="1" s="1"/>
  <c r="C72" i="65"/>
  <c r="D72" i="65" s="1"/>
  <c r="E72" i="65" s="1"/>
  <c r="I221" i="1"/>
  <c r="J221" i="1" s="1"/>
  <c r="C205" i="65"/>
  <c r="D205" i="65" s="1"/>
  <c r="E205" i="65" s="1"/>
  <c r="I217" i="1"/>
  <c r="K217" i="1" s="1"/>
  <c r="O217" i="1" s="1"/>
  <c r="C201" i="65"/>
  <c r="D201" i="65" s="1"/>
  <c r="E201" i="65" s="1"/>
  <c r="I215" i="1"/>
  <c r="K215" i="1" s="1"/>
  <c r="O215" i="1" s="1"/>
  <c r="C197" i="65"/>
  <c r="D197" i="65" s="1"/>
  <c r="E197" i="65" s="1"/>
  <c r="I211" i="1"/>
  <c r="K211" i="1" s="1"/>
  <c r="O211" i="1" s="1"/>
  <c r="C193" i="65"/>
  <c r="D193" i="65" s="1"/>
  <c r="E193" i="65" s="1"/>
  <c r="I207" i="1"/>
  <c r="J207" i="1" s="1"/>
  <c r="C189" i="65"/>
  <c r="D189" i="65" s="1"/>
  <c r="E189" i="65" s="1"/>
  <c r="I203" i="1"/>
  <c r="J203" i="1" s="1"/>
  <c r="C185" i="65"/>
  <c r="D185" i="65" s="1"/>
  <c r="E185" i="65" s="1"/>
  <c r="I199" i="1"/>
  <c r="K199" i="1" s="1"/>
  <c r="O199" i="1" s="1"/>
  <c r="C181" i="65"/>
  <c r="D181" i="65" s="1"/>
  <c r="E181" i="65" s="1"/>
  <c r="I194" i="1"/>
  <c r="K194" i="1" s="1"/>
  <c r="O194" i="1" s="1"/>
  <c r="C176" i="65"/>
  <c r="D176" i="65" s="1"/>
  <c r="E176" i="65" s="1"/>
  <c r="I190" i="1"/>
  <c r="J190" i="1" s="1"/>
  <c r="L190" i="1" s="1"/>
  <c r="C172" i="65"/>
  <c r="D172" i="65" s="1"/>
  <c r="E172" i="65" s="1"/>
  <c r="I178" i="1"/>
  <c r="J178" i="1" s="1"/>
  <c r="C160" i="65"/>
  <c r="D160" i="65" s="1"/>
  <c r="E160" i="65" s="1"/>
  <c r="I174" i="1"/>
  <c r="J174" i="1" s="1"/>
  <c r="L174" i="1" s="1"/>
  <c r="C156" i="65"/>
  <c r="D156" i="65" s="1"/>
  <c r="E156" i="65" s="1"/>
  <c r="I170" i="1"/>
  <c r="K170" i="1" s="1"/>
  <c r="O170" i="1" s="1"/>
  <c r="C152" i="65"/>
  <c r="D152" i="65" s="1"/>
  <c r="E152" i="65" s="1"/>
  <c r="I166" i="1"/>
  <c r="J166" i="1" s="1"/>
  <c r="L166" i="1" s="1"/>
  <c r="C148" i="65"/>
  <c r="D148" i="65" s="1"/>
  <c r="E148" i="65" s="1"/>
  <c r="I162" i="1"/>
  <c r="J162" i="1" s="1"/>
  <c r="C144" i="65"/>
  <c r="D144" i="65" s="1"/>
  <c r="E144" i="65" s="1"/>
  <c r="I158" i="1"/>
  <c r="J158" i="1" s="1"/>
  <c r="C140" i="65"/>
  <c r="D140" i="65" s="1"/>
  <c r="E140" i="65" s="1"/>
  <c r="I154" i="1"/>
  <c r="J154" i="1" s="1"/>
  <c r="L154" i="1" s="1"/>
  <c r="C136" i="65"/>
  <c r="D136" i="65" s="1"/>
  <c r="E136" i="65" s="1"/>
  <c r="I150" i="1"/>
  <c r="J150" i="1" s="1"/>
  <c r="L150" i="1" s="1"/>
  <c r="C132" i="65"/>
  <c r="D132" i="65" s="1"/>
  <c r="E132" i="65" s="1"/>
  <c r="I147" i="1"/>
  <c r="K147" i="1" s="1"/>
  <c r="O147" i="1" s="1"/>
  <c r="C128" i="65"/>
  <c r="D128" i="65" s="1"/>
  <c r="E128" i="65" s="1"/>
  <c r="I143" i="1"/>
  <c r="J143" i="1" s="1"/>
  <c r="C124" i="65"/>
  <c r="D124" i="65" s="1"/>
  <c r="E124" i="65" s="1"/>
  <c r="I133" i="1"/>
  <c r="K133" i="1" s="1"/>
  <c r="O133" i="1" s="1"/>
  <c r="C115" i="65"/>
  <c r="D115" i="65" s="1"/>
  <c r="E115" i="65" s="1"/>
  <c r="I129" i="1"/>
  <c r="K129" i="1" s="1"/>
  <c r="O129" i="1" s="1"/>
  <c r="C111" i="65"/>
  <c r="D111" i="65" s="1"/>
  <c r="E111" i="65" s="1"/>
  <c r="I124" i="1"/>
  <c r="J124" i="1" s="1"/>
  <c r="C106" i="65"/>
  <c r="D106" i="65" s="1"/>
  <c r="E106" i="65" s="1"/>
  <c r="I120" i="1"/>
  <c r="J120" i="1" s="1"/>
  <c r="L120" i="1" s="1"/>
  <c r="C102" i="65"/>
  <c r="D102" i="65" s="1"/>
  <c r="E102" i="65" s="1"/>
  <c r="I79" i="1"/>
  <c r="K79" i="1" s="1"/>
  <c r="O79" i="1" s="1"/>
  <c r="C73" i="65"/>
  <c r="D73" i="65" s="1"/>
  <c r="E73" i="65" s="1"/>
  <c r="I236" i="1"/>
  <c r="J236" i="1" s="1"/>
  <c r="C223" i="65"/>
  <c r="D223" i="65" s="1"/>
  <c r="E223" i="65" s="1"/>
  <c r="I232" i="1"/>
  <c r="J232" i="1" s="1"/>
  <c r="C219" i="65"/>
  <c r="D219" i="65" s="1"/>
  <c r="E219" i="65" s="1"/>
  <c r="I229" i="1"/>
  <c r="K229" i="1" s="1"/>
  <c r="O229" i="1" s="1"/>
  <c r="C214" i="65"/>
  <c r="D214" i="65" s="1"/>
  <c r="E214" i="65" s="1"/>
  <c r="I226" i="1"/>
  <c r="J226" i="1" s="1"/>
  <c r="C210" i="65"/>
  <c r="D210" i="65" s="1"/>
  <c r="E210" i="65" s="1"/>
  <c r="I16" i="1"/>
  <c r="K16" i="1" s="1"/>
  <c r="O16" i="1" s="1"/>
  <c r="C12" i="65"/>
  <c r="D12" i="65" s="1"/>
  <c r="E12" i="65" s="1"/>
  <c r="I184" i="1"/>
  <c r="J184" i="1" s="1"/>
  <c r="L184" i="1" s="1"/>
  <c r="C166" i="65"/>
  <c r="D166" i="65" s="1"/>
  <c r="E166" i="65" s="1"/>
  <c r="I188" i="1"/>
  <c r="J188" i="1" s="1"/>
  <c r="C170" i="65"/>
  <c r="D170" i="65" s="1"/>
  <c r="E170" i="65" s="1"/>
  <c r="I180" i="1"/>
  <c r="J180" i="1" s="1"/>
  <c r="N180" i="1" s="1"/>
  <c r="C162" i="65"/>
  <c r="D162" i="65" s="1"/>
  <c r="E162" i="65" s="1"/>
  <c r="B216" i="65"/>
  <c r="D216" i="65" s="1"/>
  <c r="E216" i="65" s="1"/>
  <c r="O139" i="1"/>
  <c r="B121" i="65"/>
  <c r="I101" i="1"/>
  <c r="K101" i="1" s="1"/>
  <c r="O101" i="1" s="1"/>
  <c r="C84" i="65"/>
  <c r="D84" i="65" s="1"/>
  <c r="E84" i="65" s="1"/>
  <c r="I37" i="1"/>
  <c r="J37" i="1" s="1"/>
  <c r="N37" i="1" s="1"/>
  <c r="C31" i="65"/>
  <c r="D31" i="65" s="1"/>
  <c r="E31" i="65" s="1"/>
  <c r="I44" i="1"/>
  <c r="K44" i="1" s="1"/>
  <c r="O44" i="1" s="1"/>
  <c r="C38" i="65"/>
  <c r="D38" i="65" s="1"/>
  <c r="E38" i="65" s="1"/>
  <c r="I63" i="1"/>
  <c r="K63" i="1" s="1"/>
  <c r="O63" i="1" s="1"/>
  <c r="C57" i="65"/>
  <c r="D57" i="65" s="1"/>
  <c r="E57" i="65" s="1"/>
  <c r="I65" i="1"/>
  <c r="K65" i="1" s="1"/>
  <c r="O65" i="1" s="1"/>
  <c r="C59" i="65"/>
  <c r="D59" i="65" s="1"/>
  <c r="E59" i="65" s="1"/>
  <c r="I75" i="1"/>
  <c r="J75" i="1" s="1"/>
  <c r="L75" i="1" s="1"/>
  <c r="C69" i="65"/>
  <c r="D69" i="65" s="1"/>
  <c r="E69" i="65" s="1"/>
  <c r="I71" i="1"/>
  <c r="J71" i="1" s="1"/>
  <c r="C65" i="65"/>
  <c r="D65" i="65" s="1"/>
  <c r="E65" i="65" s="1"/>
  <c r="I14" i="1"/>
  <c r="K14" i="1" s="1"/>
  <c r="O14" i="1" s="1"/>
  <c r="C10" i="65"/>
  <c r="D10" i="65" s="1"/>
  <c r="E10" i="65" s="1"/>
  <c r="I105" i="1"/>
  <c r="J105" i="1" s="1"/>
  <c r="C88" i="65"/>
  <c r="D88" i="65" s="1"/>
  <c r="E88" i="65" s="1"/>
  <c r="I108" i="1"/>
  <c r="K108" i="1" s="1"/>
  <c r="O108" i="1" s="1"/>
  <c r="C91" i="65"/>
  <c r="D91" i="65" s="1"/>
  <c r="E91" i="65" s="1"/>
  <c r="I18" i="1"/>
  <c r="J18" i="1" s="1"/>
  <c r="C14" i="65"/>
  <c r="D14" i="65" s="1"/>
  <c r="E14" i="65" s="1"/>
  <c r="I20" i="1"/>
  <c r="J20" i="1" s="1"/>
  <c r="C16" i="65"/>
  <c r="D16" i="65" s="1"/>
  <c r="E16" i="65" s="1"/>
  <c r="I112" i="1"/>
  <c r="J112" i="1" s="1"/>
  <c r="N112" i="1" s="1"/>
  <c r="C95" i="65"/>
  <c r="D95" i="65" s="1"/>
  <c r="E95" i="65" s="1"/>
  <c r="I114" i="1"/>
  <c r="K114" i="1" s="1"/>
  <c r="O114" i="1" s="1"/>
  <c r="C97" i="65"/>
  <c r="D97" i="65" s="1"/>
  <c r="E97" i="65" s="1"/>
  <c r="I116" i="1"/>
  <c r="K116" i="1" s="1"/>
  <c r="C99" i="65"/>
  <c r="I110" i="1"/>
  <c r="K110" i="1" s="1"/>
  <c r="O110" i="1" s="1"/>
  <c r="C93" i="65"/>
  <c r="D93" i="65" s="1"/>
  <c r="E93" i="65" s="1"/>
  <c r="I220" i="1"/>
  <c r="J220" i="1" s="1"/>
  <c r="C204" i="65"/>
  <c r="D204" i="65" s="1"/>
  <c r="E204" i="65" s="1"/>
  <c r="I216" i="1"/>
  <c r="J216" i="1" s="1"/>
  <c r="C200" i="65"/>
  <c r="D200" i="65" s="1"/>
  <c r="E200" i="65" s="1"/>
  <c r="I214" i="1"/>
  <c r="J214" i="1" s="1"/>
  <c r="C196" i="65"/>
  <c r="D196" i="65" s="1"/>
  <c r="E196" i="65" s="1"/>
  <c r="I210" i="1"/>
  <c r="K210" i="1" s="1"/>
  <c r="O210" i="1" s="1"/>
  <c r="C192" i="65"/>
  <c r="D192" i="65" s="1"/>
  <c r="E192" i="65" s="1"/>
  <c r="I206" i="1"/>
  <c r="K206" i="1" s="1"/>
  <c r="O206" i="1" s="1"/>
  <c r="C188" i="65"/>
  <c r="D188" i="65" s="1"/>
  <c r="E188" i="65" s="1"/>
  <c r="I202" i="1"/>
  <c r="K202" i="1" s="1"/>
  <c r="O202" i="1" s="1"/>
  <c r="C184" i="65"/>
  <c r="D184" i="65" s="1"/>
  <c r="E184" i="65" s="1"/>
  <c r="I198" i="1"/>
  <c r="J198" i="1" s="1"/>
  <c r="C180" i="65"/>
  <c r="D180" i="65" s="1"/>
  <c r="E180" i="65" s="1"/>
  <c r="I193" i="1"/>
  <c r="K193" i="1" s="1"/>
  <c r="O193" i="1" s="1"/>
  <c r="C175" i="65"/>
  <c r="D175" i="65" s="1"/>
  <c r="E175" i="65" s="1"/>
  <c r="I189" i="1"/>
  <c r="J189" i="1" s="1"/>
  <c r="C171" i="65"/>
  <c r="D171" i="65" s="1"/>
  <c r="E171" i="65" s="1"/>
  <c r="I177" i="1"/>
  <c r="K177" i="1" s="1"/>
  <c r="O177" i="1" s="1"/>
  <c r="C159" i="65"/>
  <c r="D159" i="65" s="1"/>
  <c r="E159" i="65" s="1"/>
  <c r="I173" i="1"/>
  <c r="J173" i="1" s="1"/>
  <c r="L173" i="1" s="1"/>
  <c r="C155" i="65"/>
  <c r="D155" i="65" s="1"/>
  <c r="E155" i="65" s="1"/>
  <c r="I169" i="1"/>
  <c r="J169" i="1" s="1"/>
  <c r="C151" i="65"/>
  <c r="D151" i="65" s="1"/>
  <c r="E151" i="65" s="1"/>
  <c r="I165" i="1"/>
  <c r="J165" i="1" s="1"/>
  <c r="N165" i="1" s="1"/>
  <c r="C147" i="65"/>
  <c r="D147" i="65" s="1"/>
  <c r="E147" i="65" s="1"/>
  <c r="I161" i="1"/>
  <c r="J161" i="1" s="1"/>
  <c r="L161" i="1" s="1"/>
  <c r="C143" i="65"/>
  <c r="D143" i="65" s="1"/>
  <c r="E143" i="65" s="1"/>
  <c r="I157" i="1"/>
  <c r="K157" i="1" s="1"/>
  <c r="O157" i="1" s="1"/>
  <c r="C139" i="65"/>
  <c r="D139" i="65" s="1"/>
  <c r="E139" i="65" s="1"/>
  <c r="I153" i="1"/>
  <c r="J153" i="1" s="1"/>
  <c r="C135" i="65"/>
  <c r="D135" i="65" s="1"/>
  <c r="E135" i="65" s="1"/>
  <c r="I149" i="1"/>
  <c r="J149" i="1" s="1"/>
  <c r="L149" i="1" s="1"/>
  <c r="C131" i="65"/>
  <c r="D131" i="65" s="1"/>
  <c r="E131" i="65" s="1"/>
  <c r="I146" i="1"/>
  <c r="J146" i="1" s="1"/>
  <c r="C127" i="65"/>
  <c r="D127" i="65" s="1"/>
  <c r="E127" i="65" s="1"/>
  <c r="I142" i="1"/>
  <c r="J142" i="1" s="1"/>
  <c r="L142" i="1" s="1"/>
  <c r="C123" i="65"/>
  <c r="D123" i="65" s="1"/>
  <c r="E123" i="65" s="1"/>
  <c r="I132" i="1"/>
  <c r="K132" i="1" s="1"/>
  <c r="O132" i="1" s="1"/>
  <c r="C114" i="65"/>
  <c r="D114" i="65" s="1"/>
  <c r="E114" i="65" s="1"/>
  <c r="I128" i="1"/>
  <c r="K128" i="1" s="1"/>
  <c r="O128" i="1" s="1"/>
  <c r="C110" i="65"/>
  <c r="D110" i="65" s="1"/>
  <c r="E110" i="65" s="1"/>
  <c r="I123" i="1"/>
  <c r="J123" i="1" s="1"/>
  <c r="L123" i="1" s="1"/>
  <c r="C105" i="65"/>
  <c r="D105" i="65" s="1"/>
  <c r="E105" i="65" s="1"/>
  <c r="I119" i="1"/>
  <c r="K119" i="1" s="1"/>
  <c r="O119" i="1" s="1"/>
  <c r="C101" i="65"/>
  <c r="D101" i="65" s="1"/>
  <c r="E101" i="65" s="1"/>
  <c r="I235" i="1"/>
  <c r="J235" i="1" s="1"/>
  <c r="C222" i="65"/>
  <c r="D222" i="65" s="1"/>
  <c r="E222" i="65" s="1"/>
  <c r="C218" i="65"/>
  <c r="D218" i="65" s="1"/>
  <c r="E218" i="65" s="1"/>
  <c r="C213" i="65"/>
  <c r="D213" i="65" s="1"/>
  <c r="E213" i="65" s="1"/>
  <c r="I225" i="1"/>
  <c r="K225" i="1" s="1"/>
  <c r="O225" i="1" s="1"/>
  <c r="C209" i="65"/>
  <c r="D209" i="65" s="1"/>
  <c r="E209" i="65" s="1"/>
  <c r="I185" i="1"/>
  <c r="K185" i="1" s="1"/>
  <c r="C167" i="65"/>
  <c r="D167" i="65" s="1"/>
  <c r="E167" i="65" s="1"/>
  <c r="I95" i="1"/>
  <c r="J95" i="1" s="1"/>
  <c r="C79" i="65"/>
  <c r="D79" i="65" s="1"/>
  <c r="E79" i="65" s="1"/>
  <c r="O138" i="1"/>
  <c r="B120" i="65"/>
  <c r="I33" i="1"/>
  <c r="K33" i="1" s="1"/>
  <c r="O33" i="1" s="1"/>
  <c r="C27" i="65"/>
  <c r="D27" i="65" s="1"/>
  <c r="E27" i="65" s="1"/>
  <c r="I35" i="1"/>
  <c r="J35" i="1" s="1"/>
  <c r="C29" i="65"/>
  <c r="D29" i="65" s="1"/>
  <c r="E29" i="65" s="1"/>
  <c r="I38" i="1"/>
  <c r="K38" i="1" s="1"/>
  <c r="O38" i="1" s="1"/>
  <c r="C32" i="65"/>
  <c r="D32" i="65" s="1"/>
  <c r="E32" i="65" s="1"/>
  <c r="I40" i="1"/>
  <c r="K40" i="1" s="1"/>
  <c r="O40" i="1" s="1"/>
  <c r="C34" i="65"/>
  <c r="D34" i="65" s="1"/>
  <c r="E34" i="65" s="1"/>
  <c r="I42" i="1"/>
  <c r="K42" i="1" s="1"/>
  <c r="O42" i="1" s="1"/>
  <c r="C36" i="65"/>
  <c r="D36" i="65" s="1"/>
  <c r="E36" i="65" s="1"/>
  <c r="I47" i="1"/>
  <c r="J47" i="1" s="1"/>
  <c r="L47" i="1" s="1"/>
  <c r="C41" i="65"/>
  <c r="D41" i="65" s="1"/>
  <c r="E41" i="65" s="1"/>
  <c r="I49" i="1"/>
  <c r="J49" i="1" s="1"/>
  <c r="C43" i="65"/>
  <c r="D43" i="65" s="1"/>
  <c r="E43" i="65" s="1"/>
  <c r="I51" i="1"/>
  <c r="K51" i="1" s="1"/>
  <c r="O51" i="1" s="1"/>
  <c r="C45" i="65"/>
  <c r="D45" i="65" s="1"/>
  <c r="E45" i="65" s="1"/>
  <c r="I53" i="1"/>
  <c r="J53" i="1" s="1"/>
  <c r="C47" i="65"/>
  <c r="D47" i="65" s="1"/>
  <c r="E47" i="65" s="1"/>
  <c r="I55" i="1"/>
  <c r="J55" i="1" s="1"/>
  <c r="C49" i="65"/>
  <c r="D49" i="65" s="1"/>
  <c r="E49" i="65" s="1"/>
  <c r="I57" i="1"/>
  <c r="K57" i="1" s="1"/>
  <c r="O57" i="1" s="1"/>
  <c r="C51" i="65"/>
  <c r="D51" i="65" s="1"/>
  <c r="E51" i="65" s="1"/>
  <c r="I59" i="1"/>
  <c r="J59" i="1" s="1"/>
  <c r="C53" i="65"/>
  <c r="D53" i="65" s="1"/>
  <c r="E53" i="65" s="1"/>
  <c r="I66" i="1"/>
  <c r="J66" i="1" s="1"/>
  <c r="C60" i="65"/>
  <c r="D60" i="65" s="1"/>
  <c r="E60" i="65" s="1"/>
  <c r="I69" i="1"/>
  <c r="K69" i="1" s="1"/>
  <c r="O69" i="1" s="1"/>
  <c r="C63" i="65"/>
  <c r="D63" i="65" s="1"/>
  <c r="E63" i="65" s="1"/>
  <c r="I74" i="1"/>
  <c r="J74" i="1" s="1"/>
  <c r="C68" i="65"/>
  <c r="D68" i="65" s="1"/>
  <c r="E68" i="65" s="1"/>
  <c r="I26" i="1"/>
  <c r="J26" i="1" s="1"/>
  <c r="C21" i="65"/>
  <c r="D21" i="65" s="1"/>
  <c r="E21" i="65" s="1"/>
  <c r="I28" i="1"/>
  <c r="J28" i="1" s="1"/>
  <c r="C23" i="65"/>
  <c r="D23" i="65" s="1"/>
  <c r="E23" i="65" s="1"/>
  <c r="I21" i="1"/>
  <c r="J21" i="1" s="1"/>
  <c r="C17" i="65"/>
  <c r="D17" i="65" s="1"/>
  <c r="E17" i="65" s="1"/>
  <c r="I12" i="1"/>
  <c r="K12" i="1" s="1"/>
  <c r="O12" i="1" s="1"/>
  <c r="C8" i="65"/>
  <c r="D8" i="65" s="1"/>
  <c r="E8" i="65" s="1"/>
  <c r="I102" i="1"/>
  <c r="K102" i="1" s="1"/>
  <c r="O102" i="1" s="1"/>
  <c r="C85" i="65"/>
  <c r="D85" i="65" s="1"/>
  <c r="E85" i="65" s="1"/>
  <c r="I29" i="1"/>
  <c r="K29" i="1" s="1"/>
  <c r="O29" i="1" s="1"/>
  <c r="C24" i="65"/>
  <c r="D24" i="65" s="1"/>
  <c r="E24" i="65" s="1"/>
  <c r="I223" i="1"/>
  <c r="J223" i="1" s="1"/>
  <c r="L223" i="1" s="1"/>
  <c r="C207" i="65"/>
  <c r="D207" i="65" s="1"/>
  <c r="E207" i="65" s="1"/>
  <c r="I219" i="1"/>
  <c r="K219" i="1" s="1"/>
  <c r="O219" i="1" s="1"/>
  <c r="C203" i="65"/>
  <c r="D203" i="65" s="1"/>
  <c r="E203" i="65" s="1"/>
  <c r="C199" i="65"/>
  <c r="D199" i="65" s="1"/>
  <c r="E199" i="65" s="1"/>
  <c r="I213" i="1"/>
  <c r="K213" i="1" s="1"/>
  <c r="O213" i="1" s="1"/>
  <c r="C195" i="65"/>
  <c r="D195" i="65" s="1"/>
  <c r="E195" i="65" s="1"/>
  <c r="I209" i="1"/>
  <c r="K209" i="1" s="1"/>
  <c r="O209" i="1" s="1"/>
  <c r="C191" i="65"/>
  <c r="D191" i="65" s="1"/>
  <c r="E191" i="65" s="1"/>
  <c r="I205" i="1"/>
  <c r="J205" i="1" s="1"/>
  <c r="L205" i="1" s="1"/>
  <c r="C187" i="65"/>
  <c r="D187" i="65" s="1"/>
  <c r="E187" i="65" s="1"/>
  <c r="I201" i="1"/>
  <c r="J201" i="1" s="1"/>
  <c r="C183" i="65"/>
  <c r="D183" i="65" s="1"/>
  <c r="E183" i="65" s="1"/>
  <c r="I196" i="1"/>
  <c r="K196" i="1" s="1"/>
  <c r="O196" i="1" s="1"/>
  <c r="C178" i="65"/>
  <c r="D178" i="65" s="1"/>
  <c r="E178" i="65" s="1"/>
  <c r="I192" i="1"/>
  <c r="J192" i="1" s="1"/>
  <c r="L192" i="1" s="1"/>
  <c r="C174" i="65"/>
  <c r="D174" i="65" s="1"/>
  <c r="E174" i="65" s="1"/>
  <c r="I181" i="1"/>
  <c r="J181" i="1" s="1"/>
  <c r="C163" i="65"/>
  <c r="D163" i="65" s="1"/>
  <c r="E163" i="65" s="1"/>
  <c r="I176" i="1"/>
  <c r="K176" i="1" s="1"/>
  <c r="O176" i="1" s="1"/>
  <c r="C158" i="65"/>
  <c r="D158" i="65" s="1"/>
  <c r="E158" i="65" s="1"/>
  <c r="I172" i="1"/>
  <c r="J172" i="1" s="1"/>
  <c r="C154" i="65"/>
  <c r="D154" i="65" s="1"/>
  <c r="E154" i="65" s="1"/>
  <c r="I168" i="1"/>
  <c r="J168" i="1" s="1"/>
  <c r="C150" i="65"/>
  <c r="D150" i="65" s="1"/>
  <c r="E150" i="65" s="1"/>
  <c r="I164" i="1"/>
  <c r="J164" i="1" s="1"/>
  <c r="L164" i="1" s="1"/>
  <c r="C146" i="65"/>
  <c r="D146" i="65" s="1"/>
  <c r="E146" i="65" s="1"/>
  <c r="I160" i="1"/>
  <c r="K160" i="1" s="1"/>
  <c r="O160" i="1" s="1"/>
  <c r="C142" i="65"/>
  <c r="D142" i="65" s="1"/>
  <c r="E142" i="65" s="1"/>
  <c r="I156" i="1"/>
  <c r="K156" i="1" s="1"/>
  <c r="O156" i="1" s="1"/>
  <c r="C138" i="65"/>
  <c r="D138" i="65" s="1"/>
  <c r="E138" i="65" s="1"/>
  <c r="I152" i="1"/>
  <c r="K152" i="1" s="1"/>
  <c r="O152" i="1" s="1"/>
  <c r="C134" i="65"/>
  <c r="D134" i="65" s="1"/>
  <c r="E134" i="65" s="1"/>
  <c r="I148" i="1"/>
  <c r="K148" i="1" s="1"/>
  <c r="C130" i="65"/>
  <c r="I145" i="1"/>
  <c r="J145" i="1" s="1"/>
  <c r="N145" i="1" s="1"/>
  <c r="C126" i="65"/>
  <c r="D126" i="65" s="1"/>
  <c r="E126" i="65" s="1"/>
  <c r="I141" i="1"/>
  <c r="K141" i="1" s="1"/>
  <c r="O141" i="1" s="1"/>
  <c r="C122" i="65"/>
  <c r="D122" i="65" s="1"/>
  <c r="E122" i="65" s="1"/>
  <c r="I135" i="1"/>
  <c r="K135" i="1" s="1"/>
  <c r="O135" i="1" s="1"/>
  <c r="C117" i="65"/>
  <c r="D117" i="65" s="1"/>
  <c r="E117" i="65" s="1"/>
  <c r="I131" i="1"/>
  <c r="J131" i="1" s="1"/>
  <c r="C113" i="65"/>
  <c r="D113" i="65" s="1"/>
  <c r="E113" i="65" s="1"/>
  <c r="I127" i="1"/>
  <c r="K127" i="1" s="1"/>
  <c r="O127" i="1" s="1"/>
  <c r="C109" i="65"/>
  <c r="D109" i="65" s="1"/>
  <c r="E109" i="65" s="1"/>
  <c r="I122" i="1"/>
  <c r="J122" i="1" s="1"/>
  <c r="L122" i="1" s="1"/>
  <c r="C104" i="65"/>
  <c r="D104" i="65" s="1"/>
  <c r="E104" i="65" s="1"/>
  <c r="I125" i="1"/>
  <c r="K125" i="1" s="1"/>
  <c r="O125" i="1" s="1"/>
  <c r="C107" i="65"/>
  <c r="D107" i="65" s="1"/>
  <c r="E107" i="65" s="1"/>
  <c r="I234" i="1"/>
  <c r="K234" i="1" s="1"/>
  <c r="O234" i="1" s="1"/>
  <c r="C221" i="65"/>
  <c r="D221" i="65" s="1"/>
  <c r="E221" i="65" s="1"/>
  <c r="I231" i="1"/>
  <c r="J231" i="1" s="1"/>
  <c r="C217" i="65"/>
  <c r="D217" i="65" s="1"/>
  <c r="E217" i="65" s="1"/>
  <c r="I228" i="1"/>
  <c r="K228" i="1" s="1"/>
  <c r="O228" i="1" s="1"/>
  <c r="C212" i="65"/>
  <c r="D212" i="65" s="1"/>
  <c r="E212" i="65" s="1"/>
  <c r="I61" i="1"/>
  <c r="K61" i="1" s="1"/>
  <c r="O61" i="1" s="1"/>
  <c r="C55" i="65"/>
  <c r="D55" i="65" s="1"/>
  <c r="E55" i="65" s="1"/>
  <c r="I182" i="1"/>
  <c r="J182" i="1" s="1"/>
  <c r="C164" i="65"/>
  <c r="D164" i="65" s="1"/>
  <c r="E164" i="65" s="1"/>
  <c r="I186" i="1"/>
  <c r="J186" i="1" s="1"/>
  <c r="C168" i="65"/>
  <c r="D168" i="65" s="1"/>
  <c r="E168" i="65" s="1"/>
  <c r="I97" i="1"/>
  <c r="J97" i="1" s="1"/>
  <c r="C81" i="65"/>
  <c r="D81" i="65" s="1"/>
  <c r="E81" i="65" s="1"/>
  <c r="I197" i="1"/>
  <c r="K197" i="1" s="1"/>
  <c r="O197" i="1" s="1"/>
  <c r="C179" i="65"/>
  <c r="D179" i="65" s="1"/>
  <c r="E179" i="65" s="1"/>
  <c r="N137" i="1"/>
  <c r="B119" i="65"/>
  <c r="I7" i="1"/>
  <c r="K7" i="1" s="1"/>
  <c r="O7" i="1" s="1"/>
  <c r="O26" i="16"/>
  <c r="G4" i="62" s="1"/>
  <c r="J133" i="30"/>
  <c r="J131" i="30"/>
  <c r="H70" i="1"/>
  <c r="G70" i="1" s="1"/>
  <c r="M117" i="1"/>
  <c r="M116" i="1"/>
  <c r="B99" i="65" s="1"/>
  <c r="C5" i="59"/>
  <c r="F5" i="59" s="1"/>
  <c r="C5" i="24"/>
  <c r="D5" i="24" s="1"/>
  <c r="C7" i="59"/>
  <c r="D7" i="59" s="1"/>
  <c r="C7" i="24"/>
  <c r="D7" i="24" s="1"/>
  <c r="C9" i="59"/>
  <c r="N83" i="1"/>
  <c r="O80" i="1"/>
  <c r="C11" i="59"/>
  <c r="O81" i="1"/>
  <c r="E12" i="20"/>
  <c r="D11" i="24"/>
  <c r="E8" i="20"/>
  <c r="J264" i="1"/>
  <c r="C9" i="24"/>
  <c r="D9" i="24" s="1"/>
  <c r="N139" i="1"/>
  <c r="N138" i="1"/>
  <c r="J263" i="1"/>
  <c r="E7" i="20"/>
  <c r="E9" i="20"/>
  <c r="O136" i="1"/>
  <c r="N136" i="1"/>
  <c r="D8" i="24"/>
  <c r="F11" i="20"/>
  <c r="G11" i="20" s="1"/>
  <c r="O137" i="1"/>
  <c r="N82" i="1"/>
  <c r="O52" i="18"/>
  <c r="G9" i="62" s="1"/>
  <c r="F4" i="59"/>
  <c r="D4" i="59"/>
  <c r="C4" i="24"/>
  <c r="D4" i="24" s="1"/>
  <c r="C4" i="62"/>
  <c r="E11" i="59"/>
  <c r="N7" i="22"/>
  <c r="C6" i="59"/>
  <c r="C6" i="24"/>
  <c r="D6" i="24" s="1"/>
  <c r="F6" i="24"/>
  <c r="N125" i="30"/>
  <c r="O30" i="18"/>
  <c r="G8" i="62" s="1"/>
  <c r="N79" i="12"/>
  <c r="G7" i="62" s="1"/>
  <c r="J72" i="12"/>
  <c r="F4" i="20"/>
  <c r="G4" i="20" s="1"/>
  <c r="C8" i="59"/>
  <c r="C8" i="62"/>
  <c r="C10" i="24"/>
  <c r="D10" i="24" s="1"/>
  <c r="C10" i="59"/>
  <c r="C10" i="62"/>
  <c r="H13" i="1"/>
  <c r="G13" i="1" s="1"/>
  <c r="G10" i="62"/>
  <c r="F6" i="20"/>
  <c r="G6" i="20" s="1"/>
  <c r="H171" i="1"/>
  <c r="G171" i="1" s="1"/>
  <c r="G262" i="1" s="1"/>
  <c r="H10" i="62" s="1"/>
  <c r="I32" i="1" l="1"/>
  <c r="J32" i="1" s="1"/>
  <c r="N32" i="1" s="1"/>
  <c r="G257" i="1"/>
  <c r="C26" i="65"/>
  <c r="D26" i="65" s="1"/>
  <c r="E26" i="65" s="1"/>
  <c r="G6" i="62"/>
  <c r="L25" i="1"/>
  <c r="J121" i="1"/>
  <c r="N121" i="1" s="1"/>
  <c r="O148" i="1"/>
  <c r="L146" i="1"/>
  <c r="N146" i="1"/>
  <c r="D130" i="65"/>
  <c r="E130" i="65" s="1"/>
  <c r="J230" i="1"/>
  <c r="L230" i="1" s="1"/>
  <c r="J67" i="1"/>
  <c r="L67" i="1" s="1"/>
  <c r="N175" i="1"/>
  <c r="K47" i="1"/>
  <c r="O47" i="1" s="1"/>
  <c r="K187" i="1"/>
  <c r="J41" i="1"/>
  <c r="L41" i="1" s="1"/>
  <c r="J126" i="1"/>
  <c r="L126" i="1" s="1"/>
  <c r="K25" i="1"/>
  <c r="O25" i="1" s="1"/>
  <c r="L112" i="1"/>
  <c r="J73" i="1"/>
  <c r="L73" i="1" s="1"/>
  <c r="J185" i="1"/>
  <c r="N185" i="1" s="1"/>
  <c r="J114" i="1"/>
  <c r="L114" i="1" s="1"/>
  <c r="J227" i="1"/>
  <c r="L227" i="1" s="1"/>
  <c r="K153" i="1"/>
  <c r="O153" i="1" s="1"/>
  <c r="K235" i="1"/>
  <c r="O235" i="1" s="1"/>
  <c r="K181" i="1"/>
  <c r="O181" i="1" s="1"/>
  <c r="K146" i="1"/>
  <c r="O146" i="1" s="1"/>
  <c r="J212" i="1"/>
  <c r="L212" i="1" s="1"/>
  <c r="J110" i="1"/>
  <c r="L110" i="1" s="1"/>
  <c r="K175" i="1"/>
  <c r="O175" i="1" s="1"/>
  <c r="J167" i="1"/>
  <c r="L167" i="1" s="1"/>
  <c r="J204" i="1"/>
  <c r="L204" i="1" s="1"/>
  <c r="D119" i="65"/>
  <c r="E119" i="65" s="1"/>
  <c r="D120" i="65"/>
  <c r="E120" i="65" s="1"/>
  <c r="J202" i="1"/>
  <c r="L202" i="1" s="1"/>
  <c r="K50" i="1"/>
  <c r="O50" i="1" s="1"/>
  <c r="N50" i="1"/>
  <c r="J222" i="1"/>
  <c r="L222" i="1" s="1"/>
  <c r="K17" i="1"/>
  <c r="O17" i="1" s="1"/>
  <c r="K95" i="1"/>
  <c r="O95" i="1" s="1"/>
  <c r="R94" i="1" s="1"/>
  <c r="J38" i="1"/>
  <c r="L38" i="1" s="1"/>
  <c r="K35" i="1"/>
  <c r="O35" i="1" s="1"/>
  <c r="D121" i="65"/>
  <c r="E121" i="65" s="1"/>
  <c r="J193" i="1"/>
  <c r="N193" i="1" s="1"/>
  <c r="K72" i="1"/>
  <c r="O72" i="1" s="1"/>
  <c r="K113" i="1"/>
  <c r="O113" i="1" s="1"/>
  <c r="K214" i="1"/>
  <c r="O214" i="1" s="1"/>
  <c r="J234" i="1"/>
  <c r="N234" i="1" s="1"/>
  <c r="N205" i="1"/>
  <c r="J33" i="1"/>
  <c r="L33" i="1" s="1"/>
  <c r="N163" i="1"/>
  <c r="J157" i="1"/>
  <c r="N157" i="1" s="1"/>
  <c r="J209" i="1"/>
  <c r="L209" i="1" s="1"/>
  <c r="J152" i="1"/>
  <c r="L152" i="1" s="1"/>
  <c r="N223" i="1"/>
  <c r="N173" i="1"/>
  <c r="K173" i="1"/>
  <c r="O173" i="1" s="1"/>
  <c r="L165" i="1"/>
  <c r="N155" i="1"/>
  <c r="K19" i="1"/>
  <c r="O19" i="1" s="1"/>
  <c r="J191" i="1"/>
  <c r="L191" i="1" s="1"/>
  <c r="J206" i="1"/>
  <c r="L206" i="1" s="1"/>
  <c r="K123" i="1"/>
  <c r="O123" i="1" s="1"/>
  <c r="N161" i="1"/>
  <c r="J177" i="1"/>
  <c r="L177" i="1" s="1"/>
  <c r="N123" i="1"/>
  <c r="J44" i="1"/>
  <c r="L44" i="1" s="1"/>
  <c r="C18" i="65"/>
  <c r="D18" i="65" s="1"/>
  <c r="E18" i="65" s="1"/>
  <c r="J134" i="1"/>
  <c r="N134" i="1" s="1"/>
  <c r="K34" i="1"/>
  <c r="O34" i="1" s="1"/>
  <c r="K105" i="1"/>
  <c r="O105" i="1" s="1"/>
  <c r="G140" i="1"/>
  <c r="H9" i="59" s="1"/>
  <c r="J68" i="1"/>
  <c r="L68" i="1" s="1"/>
  <c r="K178" i="1"/>
  <c r="O178" i="1" s="1"/>
  <c r="K149" i="1"/>
  <c r="O149" i="1" s="1"/>
  <c r="K56" i="1"/>
  <c r="O56" i="1" s="1"/>
  <c r="K21" i="1"/>
  <c r="O21" i="1" s="1"/>
  <c r="J12" i="1"/>
  <c r="N12" i="1" s="1"/>
  <c r="K169" i="1"/>
  <c r="O169" i="1" s="1"/>
  <c r="K109" i="1"/>
  <c r="O109" i="1" s="1"/>
  <c r="K15" i="1"/>
  <c r="O15" i="1" s="1"/>
  <c r="J43" i="1"/>
  <c r="N43" i="1" s="1"/>
  <c r="K30" i="1"/>
  <c r="O30" i="1" s="1"/>
  <c r="J29" i="1"/>
  <c r="N29" i="1" s="1"/>
  <c r="K155" i="1"/>
  <c r="O155" i="1" s="1"/>
  <c r="K37" i="1"/>
  <c r="O37" i="1" s="1"/>
  <c r="K75" i="1"/>
  <c r="O75" i="1" s="1"/>
  <c r="J6" i="1"/>
  <c r="N6" i="1" s="1"/>
  <c r="K6" i="1"/>
  <c r="O6" i="1" s="1"/>
  <c r="J228" i="1"/>
  <c r="N228" i="1" s="1"/>
  <c r="J224" i="1"/>
  <c r="N224" i="1" s="1"/>
  <c r="J40" i="1"/>
  <c r="L40" i="1" s="1"/>
  <c r="K59" i="1"/>
  <c r="O59" i="1" s="1"/>
  <c r="J78" i="1"/>
  <c r="N78" i="1" s="1"/>
  <c r="J211" i="1"/>
  <c r="N211" i="1" s="1"/>
  <c r="J213" i="1"/>
  <c r="L213" i="1" s="1"/>
  <c r="J170" i="1"/>
  <c r="L170" i="1" s="1"/>
  <c r="N75" i="1"/>
  <c r="J11" i="1"/>
  <c r="L11" i="1" s="1"/>
  <c r="J61" i="1"/>
  <c r="L61" i="1" s="1"/>
  <c r="J60" i="1"/>
  <c r="N60" i="1" s="1"/>
  <c r="J65" i="1"/>
  <c r="N65" i="1" s="1"/>
  <c r="J144" i="1"/>
  <c r="K218" i="1"/>
  <c r="O218" i="1" s="1"/>
  <c r="J147" i="1"/>
  <c r="N147" i="1" s="1"/>
  <c r="K216" i="1"/>
  <c r="O216" i="1" s="1"/>
  <c r="K182" i="1"/>
  <c r="J77" i="1"/>
  <c r="N77" i="1" s="1"/>
  <c r="K131" i="1"/>
  <c r="O131" i="1" s="1"/>
  <c r="C2" i="65"/>
  <c r="D2" i="65" s="1"/>
  <c r="E2" i="65" s="1"/>
  <c r="G6" i="1"/>
  <c r="G93" i="1"/>
  <c r="H6" i="62" s="1"/>
  <c r="N103" i="1"/>
  <c r="K186" i="1"/>
  <c r="J233" i="1"/>
  <c r="L233" i="1" s="1"/>
  <c r="K231" i="1"/>
  <c r="O231" i="1" s="1"/>
  <c r="K130" i="1"/>
  <c r="O130" i="1" s="1"/>
  <c r="J127" i="1"/>
  <c r="L127" i="1" s="1"/>
  <c r="J125" i="1"/>
  <c r="L125" i="1" s="1"/>
  <c r="K236" i="1"/>
  <c r="O236" i="1" s="1"/>
  <c r="K66" i="1"/>
  <c r="O66" i="1" s="1"/>
  <c r="K192" i="1"/>
  <c r="O192" i="1" s="1"/>
  <c r="J46" i="1"/>
  <c r="L46" i="1" s="1"/>
  <c r="H8" i="62"/>
  <c r="J100" i="1"/>
  <c r="L100" i="1" s="1"/>
  <c r="K18" i="1"/>
  <c r="O18" i="1" s="1"/>
  <c r="J64" i="1"/>
  <c r="L64" i="1" s="1"/>
  <c r="J135" i="1"/>
  <c r="L135" i="1" s="1"/>
  <c r="N120" i="1"/>
  <c r="K107" i="1"/>
  <c r="O107" i="1" s="1"/>
  <c r="J210" i="1"/>
  <c r="L210" i="1" s="1"/>
  <c r="J200" i="1"/>
  <c r="L200" i="1" s="1"/>
  <c r="J176" i="1"/>
  <c r="L176" i="1" s="1"/>
  <c r="K161" i="1"/>
  <c r="O161" i="1" s="1"/>
  <c r="H10" i="59"/>
  <c r="H7" i="62"/>
  <c r="K97" i="1"/>
  <c r="K49" i="1"/>
  <c r="O49" i="1" s="1"/>
  <c r="K24" i="1"/>
  <c r="O24" i="1" s="1"/>
  <c r="H5" i="59"/>
  <c r="H5" i="62"/>
  <c r="I23" i="1"/>
  <c r="J23" i="1" s="1"/>
  <c r="L23" i="1" s="1"/>
  <c r="G5" i="62"/>
  <c r="C6" i="65"/>
  <c r="D6" i="65" s="1"/>
  <c r="E6" i="65" s="1"/>
  <c r="G10" i="1"/>
  <c r="I10" i="1"/>
  <c r="C4" i="65"/>
  <c r="D4" i="65" s="1"/>
  <c r="E4" i="65" s="1"/>
  <c r="G8" i="1"/>
  <c r="I8" i="1"/>
  <c r="C5" i="65"/>
  <c r="D5" i="65" s="1"/>
  <c r="E5" i="65" s="1"/>
  <c r="G9" i="1"/>
  <c r="I9" i="1"/>
  <c r="K32" i="1"/>
  <c r="O32" i="1" s="1"/>
  <c r="J119" i="1"/>
  <c r="L119" i="1" s="1"/>
  <c r="J104" i="1"/>
  <c r="L104" i="1" s="1"/>
  <c r="K28" i="1"/>
  <c r="O28" i="1" s="1"/>
  <c r="J106" i="1"/>
  <c r="N106" i="1" s="1"/>
  <c r="J62" i="1"/>
  <c r="L62" i="1" s="1"/>
  <c r="J69" i="1"/>
  <c r="N69" i="1" s="1"/>
  <c r="J225" i="1"/>
  <c r="N225" i="1" s="1"/>
  <c r="L151" i="1"/>
  <c r="J45" i="1"/>
  <c r="L45" i="1" s="1"/>
  <c r="J39" i="1"/>
  <c r="N39" i="1" s="1"/>
  <c r="K179" i="1"/>
  <c r="O179" i="1" s="1"/>
  <c r="N142" i="1"/>
  <c r="J194" i="1"/>
  <c r="L194" i="1" s="1"/>
  <c r="J217" i="1"/>
  <c r="N217" i="1" s="1"/>
  <c r="J101" i="1"/>
  <c r="N101" i="1" s="1"/>
  <c r="K145" i="1"/>
  <c r="O145" i="1" s="1"/>
  <c r="K203" i="1"/>
  <c r="O203" i="1" s="1"/>
  <c r="J14" i="1"/>
  <c r="N14" i="1" s="1"/>
  <c r="J48" i="1"/>
  <c r="N48" i="1" s="1"/>
  <c r="K162" i="1"/>
  <c r="O162" i="1" s="1"/>
  <c r="J115" i="1"/>
  <c r="N115" i="1" s="1"/>
  <c r="K76" i="1"/>
  <c r="O76" i="1" s="1"/>
  <c r="K201" i="1"/>
  <c r="O201" i="1" s="1"/>
  <c r="K168" i="1"/>
  <c r="O168" i="1" s="1"/>
  <c r="N154" i="1"/>
  <c r="K198" i="1"/>
  <c r="O198" i="1" s="1"/>
  <c r="L180" i="1"/>
  <c r="K220" i="1"/>
  <c r="O220" i="1" s="1"/>
  <c r="J96" i="1"/>
  <c r="N96" i="1" s="1"/>
  <c r="J132" i="1"/>
  <c r="L132" i="1" s="1"/>
  <c r="J79" i="1"/>
  <c r="L79" i="1" s="1"/>
  <c r="K55" i="1"/>
  <c r="O55" i="1" s="1"/>
  <c r="J51" i="1"/>
  <c r="L51" i="1" s="1"/>
  <c r="K154" i="1"/>
  <c r="O154" i="1" s="1"/>
  <c r="K58" i="1"/>
  <c r="O58" i="1" s="1"/>
  <c r="J148" i="1"/>
  <c r="L148" i="1" s="1"/>
  <c r="J27" i="1"/>
  <c r="N27" i="1" s="1"/>
  <c r="K226" i="1"/>
  <c r="O226" i="1" s="1"/>
  <c r="K232" i="1"/>
  <c r="O232" i="1" s="1"/>
  <c r="J52" i="1"/>
  <c r="N52" i="1" s="1"/>
  <c r="K124" i="1"/>
  <c r="O124" i="1" s="1"/>
  <c r="N166" i="1"/>
  <c r="J160" i="1"/>
  <c r="L160" i="1" s="1"/>
  <c r="J102" i="1"/>
  <c r="N102" i="1" s="1"/>
  <c r="J133" i="1"/>
  <c r="L133" i="1" s="1"/>
  <c r="J219" i="1"/>
  <c r="L219" i="1" s="1"/>
  <c r="J141" i="1"/>
  <c r="L141" i="1" s="1"/>
  <c r="K205" i="1"/>
  <c r="O205" i="1" s="1"/>
  <c r="K174" i="1"/>
  <c r="O174" i="1" s="1"/>
  <c r="K20" i="1"/>
  <c r="O20" i="1" s="1"/>
  <c r="J196" i="1"/>
  <c r="N196" i="1" s="1"/>
  <c r="J36" i="1"/>
  <c r="N36" i="1" s="1"/>
  <c r="J108" i="1"/>
  <c r="N108" i="1" s="1"/>
  <c r="K159" i="1"/>
  <c r="O159" i="1" s="1"/>
  <c r="K71" i="1"/>
  <c r="O71" i="1" s="1"/>
  <c r="J156" i="1"/>
  <c r="N156" i="1" s="1"/>
  <c r="K74" i="1"/>
  <c r="O74" i="1" s="1"/>
  <c r="J215" i="1"/>
  <c r="L215" i="1" s="1"/>
  <c r="J99" i="1"/>
  <c r="L99" i="1" s="1"/>
  <c r="K172" i="1"/>
  <c r="O172" i="1" s="1"/>
  <c r="N184" i="1"/>
  <c r="J195" i="1"/>
  <c r="L195" i="1" s="1"/>
  <c r="N164" i="1"/>
  <c r="K223" i="1"/>
  <c r="O223" i="1" s="1"/>
  <c r="J197" i="1"/>
  <c r="L197" i="1" s="1"/>
  <c r="D99" i="65"/>
  <c r="E99" i="65" s="1"/>
  <c r="I171" i="1"/>
  <c r="J171" i="1" s="1"/>
  <c r="C153" i="65"/>
  <c r="D153" i="65" s="1"/>
  <c r="E153" i="65" s="1"/>
  <c r="I13" i="1"/>
  <c r="K13" i="1" s="1"/>
  <c r="O13" i="1" s="1"/>
  <c r="C9" i="65"/>
  <c r="D9" i="65" s="1"/>
  <c r="E9" i="65" s="1"/>
  <c r="O117" i="1"/>
  <c r="B100" i="65"/>
  <c r="D100" i="65" s="1"/>
  <c r="E100" i="65" s="1"/>
  <c r="J57" i="1"/>
  <c r="L57" i="1" s="1"/>
  <c r="K143" i="1"/>
  <c r="J16" i="1"/>
  <c r="L16" i="1" s="1"/>
  <c r="K221" i="1"/>
  <c r="O221" i="1" s="1"/>
  <c r="K150" i="1"/>
  <c r="O150" i="1" s="1"/>
  <c r="J111" i="1"/>
  <c r="N111" i="1" s="1"/>
  <c r="K208" i="1"/>
  <c r="O208" i="1" s="1"/>
  <c r="K26" i="1"/>
  <c r="O26" i="1" s="1"/>
  <c r="K158" i="1"/>
  <c r="O158" i="1" s="1"/>
  <c r="J128" i="1"/>
  <c r="N128" i="1" s="1"/>
  <c r="K207" i="1"/>
  <c r="O207" i="1" s="1"/>
  <c r="N174" i="1"/>
  <c r="J199" i="1"/>
  <c r="L199" i="1" s="1"/>
  <c r="I70" i="1"/>
  <c r="K70" i="1" s="1"/>
  <c r="O70" i="1" s="1"/>
  <c r="C64" i="65"/>
  <c r="D64" i="65" s="1"/>
  <c r="E64" i="65" s="1"/>
  <c r="K189" i="1"/>
  <c r="O189" i="1" s="1"/>
  <c r="J129" i="1"/>
  <c r="L129" i="1" s="1"/>
  <c r="J94" i="1"/>
  <c r="N94" i="1" s="1"/>
  <c r="J54" i="1"/>
  <c r="N54" i="1" s="1"/>
  <c r="J229" i="1"/>
  <c r="L229" i="1" s="1"/>
  <c r="J116" i="1"/>
  <c r="N116" i="1" s="1"/>
  <c r="J42" i="1"/>
  <c r="L42" i="1" s="1"/>
  <c r="J63" i="1"/>
  <c r="L63" i="1" s="1"/>
  <c r="K188" i="1"/>
  <c r="K53" i="1"/>
  <c r="O53" i="1" s="1"/>
  <c r="K103" i="1"/>
  <c r="O103" i="1" s="1"/>
  <c r="K122" i="1"/>
  <c r="O122" i="1" s="1"/>
  <c r="K190" i="1"/>
  <c r="O190" i="1" s="1"/>
  <c r="K142" i="1"/>
  <c r="O142" i="1" s="1"/>
  <c r="K166" i="1"/>
  <c r="O166" i="1" s="1"/>
  <c r="K180" i="1"/>
  <c r="O180" i="1" s="1"/>
  <c r="J183" i="1"/>
  <c r="N183" i="1" s="1"/>
  <c r="K184" i="1"/>
  <c r="K164" i="1"/>
  <c r="O164" i="1" s="1"/>
  <c r="K163" i="1"/>
  <c r="O163" i="1" s="1"/>
  <c r="K112" i="1"/>
  <c r="O112" i="1" s="1"/>
  <c r="J117" i="1"/>
  <c r="L117" i="1" s="1"/>
  <c r="K120" i="1"/>
  <c r="O120" i="1" s="1"/>
  <c r="K165" i="1"/>
  <c r="O165" i="1" s="1"/>
  <c r="K151" i="1"/>
  <c r="O151" i="1" s="1"/>
  <c r="J7" i="1"/>
  <c r="N7" i="1" s="1"/>
  <c r="D5" i="59"/>
  <c r="F10" i="20"/>
  <c r="G10" i="20" s="1"/>
  <c r="O116" i="1"/>
  <c r="F7" i="59"/>
  <c r="N190" i="1"/>
  <c r="F9" i="59"/>
  <c r="D9" i="59"/>
  <c r="F11" i="59"/>
  <c r="D11" i="59"/>
  <c r="N159" i="1"/>
  <c r="N150" i="1"/>
  <c r="N179" i="1"/>
  <c r="K10" i="20"/>
  <c r="N122" i="1"/>
  <c r="L121" i="1"/>
  <c r="L130" i="1"/>
  <c r="L37" i="1"/>
  <c r="L168" i="1"/>
  <c r="N168" i="1"/>
  <c r="L207" i="1"/>
  <c r="N207" i="1"/>
  <c r="N131" i="1"/>
  <c r="L131" i="1"/>
  <c r="L158" i="1"/>
  <c r="N158" i="1"/>
  <c r="L181" i="1"/>
  <c r="N181" i="1"/>
  <c r="N26" i="1"/>
  <c r="L26" i="1"/>
  <c r="N55" i="1"/>
  <c r="L55" i="1"/>
  <c r="L49" i="1"/>
  <c r="N49" i="1"/>
  <c r="L53" i="1"/>
  <c r="N53" i="1"/>
  <c r="N231" i="1"/>
  <c r="L231" i="1"/>
  <c r="L188" i="1"/>
  <c r="N188" i="1"/>
  <c r="N187" i="1"/>
  <c r="L187" i="1"/>
  <c r="L235" i="1"/>
  <c r="N235" i="1"/>
  <c r="L95" i="1"/>
  <c r="N95" i="1"/>
  <c r="L208" i="1"/>
  <c r="N208" i="1"/>
  <c r="L218" i="1"/>
  <c r="N218" i="1"/>
  <c r="L201" i="1"/>
  <c r="N201" i="1"/>
  <c r="N124" i="1"/>
  <c r="L124" i="1"/>
  <c r="L182" i="1"/>
  <c r="N182" i="1"/>
  <c r="L74" i="1"/>
  <c r="N74" i="1"/>
  <c r="N113" i="1"/>
  <c r="L113" i="1"/>
  <c r="N216" i="1"/>
  <c r="L216" i="1"/>
  <c r="N192" i="1"/>
  <c r="N76" i="1"/>
  <c r="L76" i="1"/>
  <c r="L109" i="1"/>
  <c r="N109" i="1"/>
  <c r="L59" i="1"/>
  <c r="N59" i="1"/>
  <c r="N149" i="1"/>
  <c r="N24" i="1"/>
  <c r="L107" i="1"/>
  <c r="N107" i="1"/>
  <c r="L232" i="1"/>
  <c r="N232" i="1"/>
  <c r="L19" i="1"/>
  <c r="N19" i="1"/>
  <c r="N220" i="1"/>
  <c r="L220" i="1"/>
  <c r="L17" i="1"/>
  <c r="N17" i="1"/>
  <c r="N169" i="1"/>
  <c r="L169" i="1"/>
  <c r="K11" i="20"/>
  <c r="L18" i="1"/>
  <c r="N18" i="1"/>
  <c r="L30" i="1"/>
  <c r="D6" i="59"/>
  <c r="F6" i="59"/>
  <c r="N162" i="1"/>
  <c r="L162" i="1"/>
  <c r="L178" i="1"/>
  <c r="N178" i="1"/>
  <c r="N226" i="1"/>
  <c r="L226" i="1"/>
  <c r="N47" i="1"/>
  <c r="N172" i="1"/>
  <c r="L172" i="1"/>
  <c r="N236" i="1"/>
  <c r="L236" i="1"/>
  <c r="N221" i="1"/>
  <c r="L221" i="1"/>
  <c r="N214" i="1"/>
  <c r="L214" i="1"/>
  <c r="L186" i="1"/>
  <c r="N186" i="1"/>
  <c r="N105" i="1"/>
  <c r="L105" i="1"/>
  <c r="L97" i="1"/>
  <c r="N97" i="1"/>
  <c r="L71" i="1"/>
  <c r="N71" i="1"/>
  <c r="N56" i="1"/>
  <c r="L56" i="1"/>
  <c r="L35" i="1"/>
  <c r="N35" i="1"/>
  <c r="L28" i="1"/>
  <c r="N28" i="1"/>
  <c r="N21" i="1"/>
  <c r="L21" i="1"/>
  <c r="L15" i="1"/>
  <c r="N15" i="1"/>
  <c r="L198" i="1"/>
  <c r="N198" i="1"/>
  <c r="N203" i="1"/>
  <c r="L203" i="1"/>
  <c r="L153" i="1"/>
  <c r="N153" i="1"/>
  <c r="L143" i="1"/>
  <c r="N143" i="1"/>
  <c r="N66" i="1"/>
  <c r="L66" i="1"/>
  <c r="F8" i="59"/>
  <c r="D8" i="59"/>
  <c r="F10" i="59"/>
  <c r="D10" i="59"/>
  <c r="L189" i="1"/>
  <c r="N189" i="1"/>
  <c r="L145" i="1"/>
  <c r="L58" i="1"/>
  <c r="N58" i="1"/>
  <c r="N34" i="1"/>
  <c r="L34" i="1"/>
  <c r="L72" i="1"/>
  <c r="N72" i="1"/>
  <c r="N20" i="1"/>
  <c r="L20" i="1"/>
  <c r="L32" i="1" l="1"/>
  <c r="N41" i="1"/>
  <c r="N67" i="1"/>
  <c r="N230" i="1"/>
  <c r="N212" i="1"/>
  <c r="L185" i="1"/>
  <c r="N110" i="1"/>
  <c r="L144" i="1"/>
  <c r="N144" i="1"/>
  <c r="N126" i="1"/>
  <c r="N73" i="1"/>
  <c r="N202" i="1"/>
  <c r="L157" i="1"/>
  <c r="N114" i="1"/>
  <c r="N227" i="1"/>
  <c r="N204" i="1"/>
  <c r="L193" i="1"/>
  <c r="L234" i="1"/>
  <c r="N167" i="1"/>
  <c r="N38" i="1"/>
  <c r="L128" i="1"/>
  <c r="K23" i="1"/>
  <c r="O23" i="1" s="1"/>
  <c r="R23" i="1" s="1"/>
  <c r="K5" i="20" s="1"/>
  <c r="N194" i="1"/>
  <c r="N222" i="1"/>
  <c r="L115" i="1"/>
  <c r="N209" i="1"/>
  <c r="N170" i="1"/>
  <c r="N33" i="1"/>
  <c r="L12" i="1"/>
  <c r="L94" i="1"/>
  <c r="N177" i="1"/>
  <c r="N42" i="1"/>
  <c r="N45" i="1"/>
  <c r="N206" i="1"/>
  <c r="L134" i="1"/>
  <c r="N176" i="1"/>
  <c r="N152" i="1"/>
  <c r="L147" i="1"/>
  <c r="L102" i="1"/>
  <c r="N191" i="1"/>
  <c r="N23" i="1"/>
  <c r="Q23" i="1" s="1"/>
  <c r="I5" i="20" s="1"/>
  <c r="L78" i="1"/>
  <c r="N68" i="1"/>
  <c r="N135" i="1"/>
  <c r="N200" i="1"/>
  <c r="L156" i="1"/>
  <c r="N104" i="1"/>
  <c r="N233" i="1"/>
  <c r="N44" i="1"/>
  <c r="N51" i="1"/>
  <c r="L29" i="1"/>
  <c r="C29" i="1" s="1"/>
  <c r="N63" i="1"/>
  <c r="L77" i="1"/>
  <c r="L228" i="1"/>
  <c r="N141" i="1"/>
  <c r="L6" i="1"/>
  <c r="L196" i="1"/>
  <c r="L211" i="1"/>
  <c r="N215" i="1"/>
  <c r="H9" i="62"/>
  <c r="N11" i="1"/>
  <c r="N127" i="1"/>
  <c r="N125" i="1"/>
  <c r="N213" i="1"/>
  <c r="N219" i="1"/>
  <c r="L65" i="1"/>
  <c r="N99" i="1"/>
  <c r="N64" i="1"/>
  <c r="N61" i="1"/>
  <c r="N100" i="1"/>
  <c r="N40" i="1"/>
  <c r="L43" i="1"/>
  <c r="N229" i="1"/>
  <c r="L48" i="1"/>
  <c r="N195" i="1"/>
  <c r="K171" i="1"/>
  <c r="O171" i="1" s="1"/>
  <c r="R141" i="1" s="1"/>
  <c r="N117" i="1"/>
  <c r="L224" i="1"/>
  <c r="L111" i="1"/>
  <c r="L101" i="1"/>
  <c r="L54" i="1"/>
  <c r="L36" i="1"/>
  <c r="N16" i="1"/>
  <c r="L60" i="1"/>
  <c r="L106" i="1"/>
  <c r="R119" i="1"/>
  <c r="N62" i="1"/>
  <c r="H6" i="59"/>
  <c r="L116" i="1"/>
  <c r="J70" i="1"/>
  <c r="L70" i="1" s="1"/>
  <c r="N119" i="1"/>
  <c r="N210" i="1"/>
  <c r="N160" i="1"/>
  <c r="N46" i="1"/>
  <c r="L69" i="1"/>
  <c r="L96" i="1"/>
  <c r="K10" i="1"/>
  <c r="O10" i="1" s="1"/>
  <c r="J10" i="1"/>
  <c r="G22" i="1"/>
  <c r="H4" i="62" s="1"/>
  <c r="J8" i="1"/>
  <c r="K8" i="1"/>
  <c r="O8" i="1" s="1"/>
  <c r="K9" i="1"/>
  <c r="O9" i="1" s="1"/>
  <c r="J9" i="1"/>
  <c r="N79" i="1"/>
  <c r="L52" i="1"/>
  <c r="N132" i="1"/>
  <c r="L225" i="1"/>
  <c r="L39" i="1"/>
  <c r="N148" i="1"/>
  <c r="L14" i="1"/>
  <c r="L217" i="1"/>
  <c r="J13" i="1"/>
  <c r="L13" i="1" s="1"/>
  <c r="L27" i="1"/>
  <c r="C26" i="1" s="1"/>
  <c r="N133" i="1"/>
  <c r="R99" i="1"/>
  <c r="N57" i="1"/>
  <c r="L183" i="1"/>
  <c r="L108" i="1"/>
  <c r="N197" i="1"/>
  <c r="R32" i="1"/>
  <c r="K6" i="20" s="1"/>
  <c r="N129" i="1"/>
  <c r="N199" i="1"/>
  <c r="L7" i="1"/>
  <c r="C122" i="1"/>
  <c r="Q94" i="1"/>
  <c r="I11" i="20"/>
  <c r="I10" i="20"/>
  <c r="C12" i="1"/>
  <c r="L171" i="1"/>
  <c r="N171" i="1"/>
  <c r="P32" i="1" l="1"/>
  <c r="F16" i="22" s="1"/>
  <c r="P141" i="1"/>
  <c r="AA141" i="1" s="1"/>
  <c r="E141" i="1" s="1"/>
  <c r="P119" i="1"/>
  <c r="N5" i="22" s="1"/>
  <c r="C120" i="1"/>
  <c r="P94" i="1"/>
  <c r="F17" i="22" s="1"/>
  <c r="Q119" i="1"/>
  <c r="N70" i="1"/>
  <c r="Q32" i="1" s="1"/>
  <c r="I6" i="20" s="1"/>
  <c r="Q99" i="1"/>
  <c r="C38" i="1"/>
  <c r="P23" i="1"/>
  <c r="E5" i="20" s="1"/>
  <c r="R6" i="1"/>
  <c r="K4" i="20" s="1"/>
  <c r="C35" i="1"/>
  <c r="P99" i="1"/>
  <c r="AA99" i="1" s="1"/>
  <c r="E100" i="1" s="1"/>
  <c r="Q141" i="1"/>
  <c r="H4" i="59"/>
  <c r="N13" i="1"/>
  <c r="N10" i="1"/>
  <c r="L10" i="1"/>
  <c r="N8" i="1"/>
  <c r="L8" i="1"/>
  <c r="N9" i="1"/>
  <c r="L9" i="1"/>
  <c r="E9" i="24"/>
  <c r="F9" i="24"/>
  <c r="E11" i="20"/>
  <c r="E10" i="20"/>
  <c r="E8" i="24"/>
  <c r="F8" i="24"/>
  <c r="E8" i="59" l="1"/>
  <c r="AA119" i="1"/>
  <c r="E120" i="1" s="1"/>
  <c r="G16" i="22"/>
  <c r="B22" i="22" s="1"/>
  <c r="AA94" i="1"/>
  <c r="E94" i="1" s="1"/>
  <c r="F7" i="24" s="1"/>
  <c r="E7" i="59"/>
  <c r="E7" i="24"/>
  <c r="AA23" i="1"/>
  <c r="E25" i="1" s="1"/>
  <c r="F5" i="24" s="1"/>
  <c r="E5" i="59"/>
  <c r="F5" i="22"/>
  <c r="E5" i="24"/>
  <c r="N4" i="22"/>
  <c r="AA35" i="1"/>
  <c r="E34" i="1" s="1"/>
  <c r="E6" i="24"/>
  <c r="E6" i="59"/>
  <c r="E6" i="20"/>
  <c r="E9" i="59"/>
  <c r="N6" i="22"/>
  <c r="E10" i="59"/>
  <c r="C9" i="1"/>
  <c r="P6" i="1"/>
  <c r="AA8" i="1" s="1"/>
  <c r="E8" i="1" s="1"/>
  <c r="F4" i="24" s="1"/>
  <c r="H14" i="22" l="1"/>
  <c r="B14" i="22"/>
  <c r="B15" i="22"/>
  <c r="P4" i="22"/>
  <c r="O2" i="22" s="1"/>
  <c r="E4" i="20"/>
  <c r="E4" i="59"/>
  <c r="E4" i="24"/>
  <c r="F4" i="22"/>
  <c r="G4" i="22" s="1"/>
  <c r="B3" i="22" s="1"/>
  <c r="Q6" i="1"/>
  <c r="I4" i="20" s="1"/>
  <c r="J2" i="22" l="1"/>
  <c r="J11" i="22"/>
  <c r="J3" i="22"/>
  <c r="B2" i="22"/>
  <c r="B11" i="22"/>
  <c r="H2" i="22"/>
</calcChain>
</file>

<file path=xl/sharedStrings.xml><?xml version="1.0" encoding="utf-8"?>
<sst xmlns="http://schemas.openxmlformats.org/spreadsheetml/2006/main" count="1976" uniqueCount="727">
  <si>
    <t>UPTIME %</t>
  </si>
  <si>
    <t>TOTAL CALLS</t>
  </si>
  <si>
    <t>AV. CALL/EQUIP.</t>
  </si>
  <si>
    <t>MTBF</t>
  </si>
  <si>
    <t>MTTR</t>
  </si>
  <si>
    <t>UTILIZATION</t>
  </si>
  <si>
    <t>TARGET</t>
  </si>
  <si>
    <t>ACTUAL</t>
  </si>
  <si>
    <t>SHIP TO SHORE GANTRY</t>
  </si>
  <si>
    <t>STS</t>
  </si>
  <si>
    <t>RAIL MOUNTED GANTRY</t>
  </si>
  <si>
    <t>RMG</t>
  </si>
  <si>
    <t>RUBBER TYRE GANTRY</t>
  </si>
  <si>
    <t>RTG</t>
  </si>
  <si>
    <t>STS SPREADERS</t>
  </si>
  <si>
    <t>STSSPD</t>
  </si>
  <si>
    <t>MANUAL SPREADERS</t>
  </si>
  <si>
    <t>MSPD</t>
  </si>
  <si>
    <t>OVER HEIGHT SPREADERS</t>
  </si>
  <si>
    <t>OHS</t>
  </si>
  <si>
    <t>REACHSTACKERS</t>
  </si>
  <si>
    <t>R/S</t>
  </si>
  <si>
    <t>EMPTY CONTAINER HANDLERS</t>
  </si>
  <si>
    <t>ECH</t>
  </si>
  <si>
    <t>GANTRY SPREADERS</t>
  </si>
  <si>
    <t>GSPD</t>
  </si>
  <si>
    <t>REEFER POINTS</t>
  </si>
  <si>
    <t>RP</t>
  </si>
  <si>
    <t>TERMINAL TRACTORS</t>
  </si>
  <si>
    <t>TT</t>
  </si>
  <si>
    <t>SKELETAL TRAILER</t>
  </si>
  <si>
    <t>ST</t>
  </si>
  <si>
    <t>LOWBED TRAILER</t>
  </si>
  <si>
    <t>LBT</t>
  </si>
  <si>
    <t>CONTAINER TERMINAL ENGINEERING EQUIPMENT AVALABILITY SUMMARY:</t>
  </si>
  <si>
    <t>DATE</t>
  </si>
  <si>
    <t>EQUIPMENT GROUP</t>
  </si>
  <si>
    <t>HOLDING</t>
  </si>
  <si>
    <t>AVAILABLE AS @ 0700</t>
  </si>
  <si>
    <t>BROKENDOWN</t>
  </si>
  <si>
    <t>LAST 24HRS % AVAILABILITY</t>
  </si>
  <si>
    <t>SET TARGET</t>
  </si>
  <si>
    <t xml:space="preserve"> ON PLANNED MAINTENANCE (TODAY)</t>
  </si>
  <si>
    <t>S.T.S</t>
  </si>
  <si>
    <t>R.M.G</t>
  </si>
  <si>
    <t>R.T.G</t>
  </si>
  <si>
    <t>M.H.C</t>
  </si>
  <si>
    <t>R/STACKERS</t>
  </si>
  <si>
    <t>E.C.H</t>
  </si>
  <si>
    <t>T/TRACTOR</t>
  </si>
  <si>
    <t>S/TRAILERS</t>
  </si>
  <si>
    <t>SHIP TO SHORE STATUS REPORT</t>
  </si>
  <si>
    <t>EQUIP.</t>
  </si>
  <si>
    <t>OPERATION STATUS REMARKS</t>
  </si>
  <si>
    <t>STS 1602</t>
  </si>
  <si>
    <t>STS 1702</t>
  </si>
  <si>
    <t>STS 1703</t>
  </si>
  <si>
    <t>STS 1803</t>
  </si>
  <si>
    <t>STS 1804</t>
  </si>
  <si>
    <t>STS 1901</t>
  </si>
  <si>
    <t>STS 1902</t>
  </si>
  <si>
    <t>STS 1903</t>
  </si>
  <si>
    <t>STS 1904</t>
  </si>
  <si>
    <t>STS 1905</t>
  </si>
  <si>
    <t>STS 2101</t>
  </si>
  <si>
    <t>STS 2102</t>
  </si>
  <si>
    <t xml:space="preserve">                                       CONTAINER TERMINAL ENGINEERING EQUIPMENT AVAILABILITY SUMMARY</t>
  </si>
  <si>
    <t xml:space="preserve">HOLDING </t>
  </si>
  <si>
    <t>AVAILABILE AS @0700HRS</t>
  </si>
  <si>
    <t>BREAKDOWN</t>
  </si>
  <si>
    <t>EQUIPMENT ON PREVENTIVE MAINTENANCE - TODAY</t>
  </si>
  <si>
    <t>EQPT CLASS</t>
  </si>
  <si>
    <t>EQPT NO. 1</t>
  </si>
  <si>
    <t>EQPT NO. 2</t>
  </si>
  <si>
    <t>MHC</t>
  </si>
  <si>
    <t>R/STACKERS-ECH</t>
  </si>
  <si>
    <t>T/TRACTORS</t>
  </si>
  <si>
    <t>TRAILERS</t>
  </si>
  <si>
    <t>SPREADERS</t>
  </si>
  <si>
    <t>MAN LIFT</t>
  </si>
  <si>
    <t>PRTs</t>
  </si>
  <si>
    <t>EQUIPMENT</t>
  </si>
  <si>
    <t>OPERATIONA STATUS REMARKS</t>
  </si>
  <si>
    <t>STS1603</t>
  </si>
  <si>
    <t>STS1604</t>
  </si>
  <si>
    <t>STS1605</t>
  </si>
  <si>
    <t>STS1606</t>
  </si>
  <si>
    <t>STS1804</t>
  </si>
  <si>
    <t>STS1901</t>
  </si>
  <si>
    <t>STS1902</t>
  </si>
  <si>
    <t>STS1903</t>
  </si>
  <si>
    <t>STS1904</t>
  </si>
  <si>
    <t>STS1905</t>
  </si>
  <si>
    <t>STS2101</t>
  </si>
  <si>
    <t>STS2102</t>
  </si>
  <si>
    <t>STS2103</t>
  </si>
  <si>
    <t>GANTRY EQUIPMENT</t>
  </si>
  <si>
    <t>MOBILE PLANT EQUIPMENT</t>
  </si>
  <si>
    <t>SKELETAL TRAILERS</t>
  </si>
  <si>
    <t>LOWBED TRAILERS</t>
  </si>
  <si>
    <t xml:space="preserve">YARD GANTRY EQUIPMENT </t>
  </si>
  <si>
    <t>MOBILE HARBOUR CRANES</t>
  </si>
  <si>
    <t>RTG SPREADERS</t>
  </si>
  <si>
    <t>RTG.SPD</t>
  </si>
  <si>
    <t>MHC SPREADERS</t>
  </si>
  <si>
    <t>MHC.SPD</t>
  </si>
  <si>
    <t>KPA/ES-CTE/FM/007</t>
  </si>
  <si>
    <t>AVAILABLE</t>
  </si>
  <si>
    <t>REQUIRE.</t>
  </si>
  <si>
    <t>DOWNTIME</t>
  </si>
  <si>
    <t xml:space="preserve">(%) UPTIME </t>
  </si>
  <si>
    <t>NO. OF CALLS</t>
  </si>
  <si>
    <t>AVERAGE                   PERFORMANCE/ TARGET</t>
  </si>
  <si>
    <t>FAULT NOTIFICATIONS PER EQUIPMENT</t>
  </si>
  <si>
    <t>AVILB.</t>
  </si>
  <si>
    <t>AVAIL</t>
  </si>
  <si>
    <t>SHIP TO SHORE GANTRIES</t>
  </si>
  <si>
    <t>TERM. 1</t>
  </si>
  <si>
    <t>AVE.</t>
  </si>
  <si>
    <t>TERM.2</t>
  </si>
  <si>
    <t>RAIL MOUNTED GANTRIES</t>
  </si>
  <si>
    <t>AVE</t>
  </si>
  <si>
    <t>RUBBER TYRED GANTRIES</t>
  </si>
  <si>
    <t>TERM. 2</t>
  </si>
  <si>
    <t>RS</t>
  </si>
  <si>
    <t>TRL</t>
  </si>
  <si>
    <t>SPD</t>
  </si>
  <si>
    <t>SPREADERS/REEFER</t>
  </si>
  <si>
    <t>SPD-STS</t>
  </si>
  <si>
    <t>SPD-RMG</t>
  </si>
  <si>
    <t>SPD-RTG</t>
  </si>
  <si>
    <t>SPD-MHC</t>
  </si>
  <si>
    <t>REEFER POINTS - CT1</t>
  </si>
  <si>
    <t>REEFER POINTS - CT2</t>
  </si>
  <si>
    <t>NIL</t>
  </si>
  <si>
    <t>MANLIFT</t>
  </si>
  <si>
    <t>SHUNTERS</t>
  </si>
  <si>
    <t>FORKLIFTS</t>
  </si>
  <si>
    <t>GOOSE NECK</t>
  </si>
  <si>
    <t>UTILITY VEHICLES</t>
  </si>
  <si>
    <t>EQUIPMENT ON PREVENTIVE MAINTENANCE TODAY</t>
  </si>
  <si>
    <t>EQUIPMENT RECALLED FOR SPECIAL CORRECTIVE MAINTENANCE ACTIVITIES</t>
  </si>
  <si>
    <t>R/STACKER - ECH</t>
  </si>
  <si>
    <t>EQPT.</t>
  </si>
  <si>
    <t>ACTIVITIES</t>
  </si>
  <si>
    <t>REMARKS &amp; ETF</t>
  </si>
  <si>
    <t>TRAILER</t>
  </si>
  <si>
    <t>SPREADER</t>
  </si>
  <si>
    <t>PRT</t>
  </si>
  <si>
    <t>ACCIDENT OCCURRENCES</t>
  </si>
  <si>
    <t>BRIEF REMARKS</t>
  </si>
  <si>
    <t>OTHER OCCURRENCES</t>
  </si>
  <si>
    <t>BERTH _VESSEL (SHIP)</t>
  </si>
  <si>
    <t>SHIFT 1</t>
  </si>
  <si>
    <t>SHIFT 2</t>
  </si>
  <si>
    <t>SHIFT 3</t>
  </si>
  <si>
    <t>JOBS HANDED TO MAINTENANCE  LAST 24 HOURS</t>
  </si>
  <si>
    <t>JOBS HANDED OVER TO MAINTENANCE  YET TO BE FINALISED(LONG TERM FAULTS)</t>
  </si>
  <si>
    <t>PRINCIPAL ENGINEER SHIFT………………………………………………………………......................</t>
  </si>
  <si>
    <t xml:space="preserve">KENYA PORTS AUTHORITY </t>
  </si>
  <si>
    <t xml:space="preserve">CONTAINER TERMINAL ENGINEERING STS/RMG FAULTS AND DOWNTIME - </t>
  </si>
  <si>
    <t>0700HRS</t>
  </si>
  <si>
    <t>FIRST SHIFT</t>
  </si>
  <si>
    <t>SECOND SHIFT</t>
  </si>
  <si>
    <t>THIRD SHIFT</t>
  </si>
  <si>
    <t>TOTAL DOWNTIME PER EQUIPMENT</t>
  </si>
  <si>
    <t>TOTAL NO. OF CALLS PER DAY</t>
  </si>
  <si>
    <t>INCHARGE</t>
  </si>
  <si>
    <t>KOMBE</t>
  </si>
  <si>
    <t>AVAILED SHIFT @ END</t>
  </si>
  <si>
    <t>CONTAINER TERMINAL 1</t>
  </si>
  <si>
    <t>CONTAINER TERMINAL 2</t>
  </si>
  <si>
    <t>FAULT(S)</t>
  </si>
  <si>
    <t>NO OF CALLS</t>
  </si>
  <si>
    <t>OUT</t>
  </si>
  <si>
    <t>STS2201</t>
  </si>
  <si>
    <t>STS2202</t>
  </si>
  <si>
    <t>STS2203</t>
  </si>
  <si>
    <t>TOTAL DOWN TIME PER SHIFT</t>
  </si>
  <si>
    <t>;</t>
  </si>
  <si>
    <t>TERMINAL 1</t>
  </si>
  <si>
    <t>TERMINAL 2</t>
  </si>
  <si>
    <t>RMG05</t>
  </si>
  <si>
    <t>RMG06</t>
  </si>
  <si>
    <t>RMG07</t>
  </si>
  <si>
    <t>RMG08</t>
  </si>
  <si>
    <t>RMG09</t>
  </si>
  <si>
    <t>RMG10</t>
  </si>
  <si>
    <t>RMG2-11</t>
  </si>
  <si>
    <t>RMG2-12</t>
  </si>
  <si>
    <t xml:space="preserve">CONTAINER TERMINAL ENGINEERING RTG FAULTS AND DOWNTIME - </t>
  </si>
  <si>
    <t xml:space="preserve"> </t>
  </si>
  <si>
    <t>MOBILE HARBOUR  CRANE</t>
  </si>
  <si>
    <t>RTG12</t>
  </si>
  <si>
    <t>RTG13</t>
  </si>
  <si>
    <t>RTG14</t>
  </si>
  <si>
    <t>RTG15</t>
  </si>
  <si>
    <t>RTG16</t>
  </si>
  <si>
    <t>RTG17</t>
  </si>
  <si>
    <t>RTG18</t>
  </si>
  <si>
    <t>TRAVELLING.OUT</t>
  </si>
  <si>
    <t>RTG19</t>
  </si>
  <si>
    <t>REHABILITATION.OUT</t>
  </si>
  <si>
    <t>RTG20</t>
  </si>
  <si>
    <t>RTG21</t>
  </si>
  <si>
    <t>RTG22</t>
  </si>
  <si>
    <t>RTG23</t>
  </si>
  <si>
    <t>RTG24</t>
  </si>
  <si>
    <t>RTG25</t>
  </si>
  <si>
    <t>RTG26</t>
  </si>
  <si>
    <t>RTG27</t>
  </si>
  <si>
    <t>RTG28</t>
  </si>
  <si>
    <t>RTG29</t>
  </si>
  <si>
    <t>RTG30</t>
  </si>
  <si>
    <t>RTG31</t>
  </si>
  <si>
    <t>GANTRY MOTOR SHORT CCT FLT -OUT</t>
  </si>
  <si>
    <t>RTG32</t>
  </si>
  <si>
    <t>RTG33</t>
  </si>
  <si>
    <t>RTG34</t>
  </si>
  <si>
    <t>RTG35</t>
  </si>
  <si>
    <t>RTG36</t>
  </si>
  <si>
    <t>RTG37</t>
  </si>
  <si>
    <t>RTG38</t>
  </si>
  <si>
    <t>RTG39</t>
  </si>
  <si>
    <t>RTG41</t>
  </si>
  <si>
    <t>RTG42</t>
  </si>
  <si>
    <t>RTG44</t>
  </si>
  <si>
    <t>RTG45</t>
  </si>
  <si>
    <t>STEERING -OUT</t>
  </si>
  <si>
    <t>RTG201</t>
  </si>
  <si>
    <t>RTG202</t>
  </si>
  <si>
    <t>RTG203</t>
  </si>
  <si>
    <t>RTG204</t>
  </si>
  <si>
    <t>RTG205</t>
  </si>
  <si>
    <t>RTG206</t>
  </si>
  <si>
    <t>RTG207</t>
  </si>
  <si>
    <t>GENERATOR FAULT-OUT</t>
  </si>
  <si>
    <t>RTG208</t>
  </si>
  <si>
    <t>RTG209</t>
  </si>
  <si>
    <t>RTG210</t>
  </si>
  <si>
    <t>NO ALTERNATOR VOLTAGE-OUT</t>
  </si>
  <si>
    <t>RTG211</t>
  </si>
  <si>
    <t>RTG212</t>
  </si>
  <si>
    <t>RTG213</t>
  </si>
  <si>
    <t>RTG214</t>
  </si>
  <si>
    <t>RTG215</t>
  </si>
  <si>
    <t>RTG216</t>
  </si>
  <si>
    <t>RTG217</t>
  </si>
  <si>
    <t>RTG218</t>
  </si>
  <si>
    <t>RTG219</t>
  </si>
  <si>
    <t>RTG220</t>
  </si>
  <si>
    <t>MHC201</t>
  </si>
  <si>
    <t>MHC202</t>
  </si>
  <si>
    <t>ACCIDENT.OUT</t>
  </si>
  <si>
    <t>MHC203</t>
  </si>
  <si>
    <t>MHC204</t>
  </si>
  <si>
    <t>WAITHAKA</t>
  </si>
  <si>
    <t>NDIRANGU</t>
  </si>
  <si>
    <t xml:space="preserve">  </t>
  </si>
  <si>
    <t>A1</t>
  </si>
  <si>
    <t xml:space="preserve">CONTAINER TERMINAL REACHSTACKERS AND EMPTY CONTAINER HANDLERS FAULTS AND DOWNTIME </t>
  </si>
  <si>
    <t xml:space="preserve">                                   </t>
  </si>
  <si>
    <t>HK39</t>
  </si>
  <si>
    <t>GEAR FAULT-OUT</t>
  </si>
  <si>
    <t>HK40</t>
  </si>
  <si>
    <t>HK41</t>
  </si>
  <si>
    <t>COMMUNICATION - OUT</t>
  </si>
  <si>
    <t>HK42</t>
  </si>
  <si>
    <t>HK43</t>
  </si>
  <si>
    <t>HK44</t>
  </si>
  <si>
    <t>HK45</t>
  </si>
  <si>
    <t>HK46</t>
  </si>
  <si>
    <t>HK48</t>
  </si>
  <si>
    <t>HK49</t>
  </si>
  <si>
    <t>HK50</t>
  </si>
  <si>
    <t>HK52</t>
  </si>
  <si>
    <t>HK53</t>
  </si>
  <si>
    <t>HK54</t>
  </si>
  <si>
    <t>HK55</t>
  </si>
  <si>
    <t>HK56</t>
  </si>
  <si>
    <t>HK57</t>
  </si>
  <si>
    <t>SPD LOCK PIN -OUT</t>
  </si>
  <si>
    <t>HH33</t>
  </si>
  <si>
    <t>HH35</t>
  </si>
  <si>
    <t xml:space="preserve">NO MOTIONS-OUT </t>
  </si>
  <si>
    <t>ECH07</t>
  </si>
  <si>
    <t xml:space="preserve">REVERSE GEAR FAULT-OUT </t>
  </si>
  <si>
    <t>ECH09</t>
  </si>
  <si>
    <t>ECH12</t>
  </si>
  <si>
    <t>ECH14</t>
  </si>
  <si>
    <t>LOCK SIGNAL -OUT</t>
  </si>
  <si>
    <t>ECH17</t>
  </si>
  <si>
    <t>COMMUNICATION/ ENGINE STARTING -OUT</t>
  </si>
  <si>
    <t>ECH18</t>
  </si>
  <si>
    <t>BRAKE OIL LEAK - OUT</t>
  </si>
  <si>
    <t>ECH19</t>
  </si>
  <si>
    <t>ECH20</t>
  </si>
  <si>
    <t>CAN BUS-OUT</t>
  </si>
  <si>
    <t>ECH21</t>
  </si>
  <si>
    <t>ECH22</t>
  </si>
  <si>
    <t>ECH23</t>
  </si>
  <si>
    <t>ECH24</t>
  </si>
  <si>
    <t>BOOM LENGTH SENSOR-OUT</t>
  </si>
  <si>
    <t>ECH25</t>
  </si>
  <si>
    <t>ECH26</t>
  </si>
  <si>
    <t>ECH27</t>
  </si>
  <si>
    <t>ECH28</t>
  </si>
  <si>
    <t>ECH29</t>
  </si>
  <si>
    <t>ECH30</t>
  </si>
  <si>
    <t>ECH31</t>
  </si>
  <si>
    <t>ECH32</t>
  </si>
  <si>
    <t>ECH33</t>
  </si>
  <si>
    <t>S</t>
  </si>
  <si>
    <t xml:space="preserve">CONTAINER TERMINAL ENGINEERING TERMINAL TRACTORS &amp; TRAILERS FAULTS AND DOWNTIME </t>
  </si>
  <si>
    <t>AVAILED PER SHIFT</t>
  </si>
  <si>
    <t>B/DOWN</t>
  </si>
  <si>
    <t xml:space="preserve">TERMINAL TRACTORS </t>
  </si>
  <si>
    <t xml:space="preserve">TT </t>
  </si>
  <si>
    <t>MRTT108</t>
  </si>
  <si>
    <t>MRTT109</t>
  </si>
  <si>
    <t>MRTT110</t>
  </si>
  <si>
    <t>MRTT111</t>
  </si>
  <si>
    <t>MRTT113</t>
  </si>
  <si>
    <t>MRTT114</t>
  </si>
  <si>
    <t>ACCIDENT-OUT</t>
  </si>
  <si>
    <t>MRTT116</t>
  </si>
  <si>
    <t>MRTT117</t>
  </si>
  <si>
    <t>MRTT118</t>
  </si>
  <si>
    <t>MRTT121</t>
  </si>
  <si>
    <t>MRTT122</t>
  </si>
  <si>
    <t>MRTT123</t>
  </si>
  <si>
    <t>FAULTY REAR BRAKES - OUT</t>
  </si>
  <si>
    <t>MRTT124</t>
  </si>
  <si>
    <t>KTT191</t>
  </si>
  <si>
    <t>FAULTY HYDRAULIC CONTROL VALVE  - OUT</t>
  </si>
  <si>
    <t>KTT192</t>
  </si>
  <si>
    <t>KTT193</t>
  </si>
  <si>
    <t>N</t>
  </si>
  <si>
    <t>KTT194</t>
  </si>
  <si>
    <t>LEAF SPRING DETACHED-OUT</t>
  </si>
  <si>
    <t>KTT197</t>
  </si>
  <si>
    <t>KTT199</t>
  </si>
  <si>
    <t>KTT200</t>
  </si>
  <si>
    <t>KTT202</t>
  </si>
  <si>
    <t>KTT203</t>
  </si>
  <si>
    <t>KTT204</t>
  </si>
  <si>
    <t>KTT211</t>
  </si>
  <si>
    <t>KTT212</t>
  </si>
  <si>
    <t>REAR DRIVE AXLE  FAULT.OUT</t>
  </si>
  <si>
    <t>KTT213</t>
  </si>
  <si>
    <t>KTT214</t>
  </si>
  <si>
    <t>KTT215</t>
  </si>
  <si>
    <t>KTT216</t>
  </si>
  <si>
    <t>KTT217</t>
  </si>
  <si>
    <t>KTT218</t>
  </si>
  <si>
    <t>KTT219</t>
  </si>
  <si>
    <t>KTT221</t>
  </si>
  <si>
    <t>KTT223</t>
  </si>
  <si>
    <t>OUT - REAR DRIVE AXLE BROKEN</t>
  </si>
  <si>
    <t>KTT224</t>
  </si>
  <si>
    <t>KTT225</t>
  </si>
  <si>
    <t>KTT226</t>
  </si>
  <si>
    <t>KTT228</t>
  </si>
  <si>
    <t>KTT229</t>
  </si>
  <si>
    <t>KTT230</t>
  </si>
  <si>
    <t>KTT231</t>
  </si>
  <si>
    <t>KTT235</t>
  </si>
  <si>
    <t>KTT236</t>
  </si>
  <si>
    <t>KTT237</t>
  </si>
  <si>
    <t>KTT238</t>
  </si>
  <si>
    <t>KTT239</t>
  </si>
  <si>
    <t>KTT240</t>
  </si>
  <si>
    <t>TTT43</t>
  </si>
  <si>
    <t>WHEEL STUDS/HUB -OUT</t>
  </si>
  <si>
    <t>TTT44</t>
  </si>
  <si>
    <t xml:space="preserve">HOISTING CYLINDER FLT.OUT </t>
  </si>
  <si>
    <t>TTT127</t>
  </si>
  <si>
    <t>TTT129</t>
  </si>
  <si>
    <t>TTT130</t>
  </si>
  <si>
    <t>TTT131</t>
  </si>
  <si>
    <t>TTT132</t>
  </si>
  <si>
    <t>TTT133</t>
  </si>
  <si>
    <t>TTT134</t>
  </si>
  <si>
    <t>TTT135</t>
  </si>
  <si>
    <t>TTT136</t>
  </si>
  <si>
    <t>TTT137</t>
  </si>
  <si>
    <t>TTT163</t>
  </si>
  <si>
    <t>TTT164</t>
  </si>
  <si>
    <t>TTT165</t>
  </si>
  <si>
    <t>TTT166</t>
  </si>
  <si>
    <t>TTT167</t>
  </si>
  <si>
    <t>TTT168</t>
  </si>
  <si>
    <t>FIRE ACCIDENT -OUT</t>
  </si>
  <si>
    <t>TTT169</t>
  </si>
  <si>
    <t>TTT170</t>
  </si>
  <si>
    <t>TTT171</t>
  </si>
  <si>
    <t>TTT172</t>
  </si>
  <si>
    <t>TTT173</t>
  </si>
  <si>
    <t>TTT174</t>
  </si>
  <si>
    <t>TTT175</t>
  </si>
  <si>
    <t>TTT176</t>
  </si>
  <si>
    <t>TTT177</t>
  </si>
  <si>
    <t>TTT178</t>
  </si>
  <si>
    <t>TTT179</t>
  </si>
  <si>
    <t>TTT180</t>
  </si>
  <si>
    <t>TTT181</t>
  </si>
  <si>
    <t>TTT182</t>
  </si>
  <si>
    <t>TTT183</t>
  </si>
  <si>
    <t>TTT185</t>
  </si>
  <si>
    <t>TTT186</t>
  </si>
  <si>
    <t>TTT187</t>
  </si>
  <si>
    <t>TTT188</t>
  </si>
  <si>
    <t>TTT189</t>
  </si>
  <si>
    <t>TTT190</t>
  </si>
  <si>
    <t>TTT241</t>
  </si>
  <si>
    <t>TTT242</t>
  </si>
  <si>
    <t>TTT243</t>
  </si>
  <si>
    <t>TTT244</t>
  </si>
  <si>
    <t>TTT245</t>
  </si>
  <si>
    <t>TTT246</t>
  </si>
  <si>
    <t>TTT247</t>
  </si>
  <si>
    <t>TTT248</t>
  </si>
  <si>
    <t>TTT249</t>
  </si>
  <si>
    <t>TTT250</t>
  </si>
  <si>
    <t>TTT251</t>
  </si>
  <si>
    <t>TTT252</t>
  </si>
  <si>
    <t>TTT253</t>
  </si>
  <si>
    <t>TTT254</t>
  </si>
  <si>
    <t>TTT255</t>
  </si>
  <si>
    <t>TTT256</t>
  </si>
  <si>
    <t>TC18</t>
  </si>
  <si>
    <t>TC19</t>
  </si>
  <si>
    <t>TC20</t>
  </si>
  <si>
    <t>TC21</t>
  </si>
  <si>
    <t>TC22</t>
  </si>
  <si>
    <t>TC23</t>
  </si>
  <si>
    <t>TC24</t>
  </si>
  <si>
    <t>TC25</t>
  </si>
  <si>
    <t>HPS10</t>
  </si>
  <si>
    <t>HPS11</t>
  </si>
  <si>
    <t>CONTAINER TERMINAL BERTH OCCUPANCY LAST 8HOURS</t>
  </si>
  <si>
    <t>LAST</t>
  </si>
  <si>
    <t xml:space="preserve">  24HRS</t>
  </si>
  <si>
    <t>CRANES IN USE</t>
  </si>
  <si>
    <t>VESSEL(SHIP NAME)</t>
  </si>
  <si>
    <t>B16</t>
  </si>
  <si>
    <t>B17A</t>
  </si>
  <si>
    <t>B17B</t>
  </si>
  <si>
    <t>B18</t>
  </si>
  <si>
    <t>B20</t>
  </si>
  <si>
    <t>B21A</t>
  </si>
  <si>
    <t>B21B</t>
  </si>
  <si>
    <t>B22</t>
  </si>
  <si>
    <t>CONTAINER TERMINAL ENGINEERING  OTHER DATA</t>
  </si>
  <si>
    <t>AVAILED</t>
  </si>
  <si>
    <t>REMARKS/FAULTY</t>
  </si>
  <si>
    <t>SPD190 &amp; SPD188</t>
  </si>
  <si>
    <t>SPD219;SPD 249</t>
  </si>
  <si>
    <t>SPD101, SPD16 &amp; SPD205</t>
  </si>
  <si>
    <t>OHS180</t>
  </si>
  <si>
    <t>REEFER POINTS -CT1</t>
  </si>
  <si>
    <t xml:space="preserve">CT1:[48 POINTS FAULTY AWAITING PO, 120 POINTS BARRICADED AWAITING BACK-UP GENSET] CT2: [24 POINTS FAULTY AWAITING PO] </t>
  </si>
  <si>
    <t>REEFER POINTS -CT2</t>
  </si>
  <si>
    <t>ML-01-OUT ML-02-OUT</t>
  </si>
  <si>
    <t>HPS12 -5TH WHEEL PLATE OUT</t>
  </si>
  <si>
    <t>FAULTY:HH123-FAULTY CHARGING SYSTEM</t>
  </si>
  <si>
    <t>MOBILE CRANES</t>
  </si>
  <si>
    <t>GOOSENECKS</t>
  </si>
  <si>
    <t>5- TAIL SHEARED OUT</t>
  </si>
  <si>
    <t>UNDER SERVICE-5, KCD 836G-ACCIDENT. KCD 834G-WRITE-OFF , KCD 839G-GASKET CYLINDER, KCD837G-SUSPENSION;KCA105F-STEERING FAULT;</t>
  </si>
  <si>
    <t>ACCIDENTS/ INCIDENT</t>
  </si>
  <si>
    <t xml:space="preserve">JOBS HANDED OVER TO MAINTENANCE </t>
  </si>
  <si>
    <t>STS/RMG</t>
  </si>
  <si>
    <t>YARD CRANES</t>
  </si>
  <si>
    <t>R/STACKERS &amp; ECH</t>
  </si>
  <si>
    <t>T/TRACTORS  &amp; TRAILERS</t>
  </si>
  <si>
    <t>GANTRY</t>
  </si>
  <si>
    <t>T/TRACTORS  &amp; HTR</t>
  </si>
  <si>
    <t>R/STACKER    ECH</t>
  </si>
  <si>
    <t>EQUIPMENT ON MAINTENANCE</t>
  </si>
  <si>
    <t>EQUIPMENT CLASS</t>
  </si>
  <si>
    <t>PREVENTIVE MAINTENANCE</t>
  </si>
  <si>
    <t xml:space="preserve">ACTIVITIES </t>
  </si>
  <si>
    <t>R/STACKERS_ECH</t>
  </si>
  <si>
    <t>O.K (AVAILABLE)</t>
  </si>
  <si>
    <t>DAILY MORNING BRIEFING MEETING</t>
  </si>
  <si>
    <t>AVAILABILITY</t>
  </si>
  <si>
    <t>TOTAL DOWN TIME (HRS)</t>
  </si>
  <si>
    <t>1ST SHIFT</t>
  </si>
  <si>
    <t>2ND SHIFT</t>
  </si>
  <si>
    <t>3RD SHIFT</t>
  </si>
  <si>
    <t>RTGs</t>
  </si>
  <si>
    <t>TTs</t>
  </si>
  <si>
    <t>UNDER MAINTENANCE</t>
  </si>
  <si>
    <t>RS/ECH</t>
  </si>
  <si>
    <t>CONTAINER TERMINAL ENGINEERING SHIFT HANDOVER NOTES</t>
  </si>
  <si>
    <t>DATE:</t>
  </si>
  <si>
    <t>SHIFT INCHARGE</t>
  </si>
  <si>
    <t>KALEVE</t>
  </si>
  <si>
    <t>STAFF</t>
  </si>
  <si>
    <t>PRESENT</t>
  </si>
  <si>
    <t>HM4 - HM2</t>
  </si>
  <si>
    <t>HG4 - HG1</t>
  </si>
  <si>
    <t>NAME</t>
  </si>
  <si>
    <t>SECT.</t>
  </si>
  <si>
    <t>REG.</t>
  </si>
  <si>
    <t>STATUS</t>
  </si>
  <si>
    <t>I/C</t>
  </si>
  <si>
    <t>OTIENO</t>
  </si>
  <si>
    <t>KBW688W</t>
  </si>
  <si>
    <t>AVAIL.</t>
  </si>
  <si>
    <t>KADGHE</t>
  </si>
  <si>
    <t>KCA105F</t>
  </si>
  <si>
    <t>OWITI</t>
  </si>
  <si>
    <t>MBOSYO</t>
  </si>
  <si>
    <t>KBU397T</t>
  </si>
  <si>
    <t>OLUMA</t>
  </si>
  <si>
    <t>TOLE</t>
  </si>
  <si>
    <t>CONTROL</t>
  </si>
  <si>
    <t>KCA075F</t>
  </si>
  <si>
    <t>NOOR</t>
  </si>
  <si>
    <t>M/PLANT</t>
  </si>
  <si>
    <t>FONDO</t>
  </si>
  <si>
    <t>U/DIRIVER</t>
  </si>
  <si>
    <t>KXXX111P</t>
  </si>
  <si>
    <t>SERVICE</t>
  </si>
  <si>
    <t>NGONDO</t>
  </si>
  <si>
    <t>MWALATA</t>
  </si>
  <si>
    <t>SUAKA</t>
  </si>
  <si>
    <t>REFFER</t>
  </si>
  <si>
    <t>AMANI</t>
  </si>
  <si>
    <t>BATTERIES</t>
  </si>
  <si>
    <t>WUANTAI</t>
  </si>
  <si>
    <t>OSIEMO</t>
  </si>
  <si>
    <t>ABSENT</t>
  </si>
  <si>
    <t>EQUIPMENT HANDED OVER</t>
  </si>
  <si>
    <t>EQP. OUT</t>
  </si>
  <si>
    <t>TIME OUT</t>
  </si>
  <si>
    <t>PERSON H/OVER TO:</t>
  </si>
  <si>
    <t>RUTERE</t>
  </si>
  <si>
    <t>ARES OF CONCERN NOTED</t>
  </si>
  <si>
    <t>PERSISTENT FAULT</t>
  </si>
  <si>
    <t>SHIFT</t>
  </si>
  <si>
    <t>CAUSE OF FAULT</t>
  </si>
  <si>
    <t>SNR. SUPT. SHIFT. JACKSON KALEVE</t>
  </si>
  <si>
    <t xml:space="preserve">SIGN.OUT………………………………………………………………………… </t>
  </si>
  <si>
    <t>SNR. SUPT. SHIFT.:  GEORGE OMAMBIA</t>
  </si>
  <si>
    <t>SIGN.IN…………………………………………………………………………….</t>
  </si>
  <si>
    <t>REFUBISHMENT-OUT</t>
  </si>
  <si>
    <t>TTT01-25</t>
  </si>
  <si>
    <t>TTT02-25</t>
  </si>
  <si>
    <t>TTT03-25</t>
  </si>
  <si>
    <t>TTT04-25</t>
  </si>
  <si>
    <t>TTT05-25</t>
  </si>
  <si>
    <t>TTT06-25</t>
  </si>
  <si>
    <t>TTT07-25</t>
  </si>
  <si>
    <t>TTT08-25</t>
  </si>
  <si>
    <t>TTT09-25</t>
  </si>
  <si>
    <t>TTT10-25</t>
  </si>
  <si>
    <t>TTT11-25</t>
  </si>
  <si>
    <t>TTT12-25</t>
  </si>
  <si>
    <t>TTT13-25</t>
  </si>
  <si>
    <t>TTT14-25</t>
  </si>
  <si>
    <t>TTT15-25</t>
  </si>
  <si>
    <t>TTT16-25</t>
  </si>
  <si>
    <t>TTT17-25</t>
  </si>
  <si>
    <t>TTT18-25</t>
  </si>
  <si>
    <t>TTT19-25</t>
  </si>
  <si>
    <t>TTT20-25</t>
  </si>
  <si>
    <t xml:space="preserve">EQUIPMENT </t>
  </si>
  <si>
    <t>RELIABILITY %</t>
  </si>
  <si>
    <t>UPTIME</t>
  </si>
  <si>
    <t>FAILURE RATE</t>
  </si>
  <si>
    <t>NUMBER OF FAILURES</t>
  </si>
  <si>
    <t>DOWNTIME (MIN)</t>
  </si>
  <si>
    <t>DOWN TIME (MIN)</t>
  </si>
  <si>
    <t>TOTAL DOWN TIME (MIN)</t>
  </si>
  <si>
    <t>TOTAL DOWN TIME PER SHIFT (MIN)</t>
  </si>
  <si>
    <t xml:space="preserve">ENGINE STARTING-OUT </t>
  </si>
  <si>
    <t>BLOCK A</t>
  </si>
  <si>
    <t>BLOCK B</t>
  </si>
  <si>
    <t>BLOCK C</t>
  </si>
  <si>
    <t>BLOCK D</t>
  </si>
  <si>
    <t>BLOCK E</t>
  </si>
  <si>
    <t>BLOCK K</t>
  </si>
  <si>
    <t>BLOCK H</t>
  </si>
  <si>
    <t>BLOCK L</t>
  </si>
  <si>
    <t>BLOCK SA</t>
  </si>
  <si>
    <t>RTG2-11</t>
  </si>
  <si>
    <t>BLOCK SB</t>
  </si>
  <si>
    <t>NONE</t>
  </si>
  <si>
    <t>BLOCK SC</t>
  </si>
  <si>
    <t>RTG2-16</t>
  </si>
  <si>
    <t>BLOCK SD</t>
  </si>
  <si>
    <t>RTG2-02</t>
  </si>
  <si>
    <t>BLOCK SE</t>
  </si>
  <si>
    <t>RTG2-10</t>
  </si>
  <si>
    <t>BLOCK SF</t>
  </si>
  <si>
    <t>RTG2-12</t>
  </si>
  <si>
    <t>BLOCK SG</t>
  </si>
  <si>
    <t>RTG2-09</t>
  </si>
  <si>
    <t>RTG2-19</t>
  </si>
  <si>
    <t>BLOCK SH</t>
  </si>
  <si>
    <t>BLOCK SJ</t>
  </si>
  <si>
    <t>RTG2-01</t>
  </si>
  <si>
    <t>RTG2-15</t>
  </si>
  <si>
    <t>RTG2-18</t>
  </si>
  <si>
    <t>BLOCK SK</t>
  </si>
  <si>
    <t>RTG2-05</t>
  </si>
  <si>
    <t>BLOCK SL</t>
  </si>
  <si>
    <t>RTG2-14</t>
  </si>
  <si>
    <t>RTG2-04</t>
  </si>
  <si>
    <t>BLOCK SM</t>
  </si>
  <si>
    <t>RTG2-08</t>
  </si>
  <si>
    <t>BLOCK SN</t>
  </si>
  <si>
    <t>RTG2-13</t>
  </si>
  <si>
    <t>BLOCK SP</t>
  </si>
  <si>
    <t>RTG2-06</t>
  </si>
  <si>
    <t>BLOCK SQ</t>
  </si>
  <si>
    <t>RTG2-03</t>
  </si>
  <si>
    <t>RTG2-17</t>
  </si>
  <si>
    <t>BLOCK SR</t>
  </si>
  <si>
    <t>RTG2-20</t>
  </si>
  <si>
    <t>RTG2-07</t>
  </si>
  <si>
    <t>Note: Those highlighted in red are not operational</t>
  </si>
  <si>
    <t>RUBBER TYRED GANTRY CRANES DISTRIBUTION PER BLOCK</t>
  </si>
  <si>
    <t>NOT (AVAILABLE)</t>
  </si>
  <si>
    <t>ENGINE OVERHEATING-OUT</t>
  </si>
  <si>
    <t>FLY WHEEL RING GEAR FAULT-OUT</t>
  </si>
  <si>
    <t>RADIATOR LEAKAGE-OUT</t>
  </si>
  <si>
    <t xml:space="preserve">FLY WHEEL RING GEAR FAULT- OUT </t>
  </si>
  <si>
    <t>LOW ENGINE POWER-OUT</t>
  </si>
  <si>
    <t>TRANSMISSION FAULT.OUT</t>
  </si>
  <si>
    <t>GENERATOR VIBRATIONS.OUT</t>
  </si>
  <si>
    <t>RTG2-21</t>
  </si>
  <si>
    <t>RTG2-26</t>
  </si>
  <si>
    <t>RTG2-27</t>
  </si>
  <si>
    <t>RTG2-28</t>
  </si>
  <si>
    <t>RTG2-30</t>
  </si>
  <si>
    <t>RTG2-22</t>
  </si>
  <si>
    <t>RTG2-24</t>
  </si>
  <si>
    <t>RTG2-25</t>
  </si>
  <si>
    <t>RTG2-29</t>
  </si>
  <si>
    <t>ACCIDENT-SPD LOCK MOTOR FAULT-OUT</t>
  </si>
  <si>
    <t>DASHBOARD SHORT CCT/5TH WHEEL-OUT</t>
  </si>
  <si>
    <t>HPS</t>
  </si>
  <si>
    <t>HPS12</t>
  </si>
  <si>
    <t>HPS13</t>
  </si>
  <si>
    <t>BATTERY FAULT- OUT</t>
  </si>
  <si>
    <t>OUT- REAR DRIVE AXLE BROKEN</t>
  </si>
  <si>
    <t>FLY WHEEL RING GEAR FAULT- OUT</t>
  </si>
  <si>
    <t xml:space="preserve"> NIL</t>
  </si>
  <si>
    <t>CONTROL ON -OUT</t>
  </si>
  <si>
    <t>HOIST DRIVE -OUT</t>
  </si>
  <si>
    <t>REAR DRIVE AXLE BROKEN -OUT</t>
  </si>
  <si>
    <t xml:space="preserve">REAR DRIVE AXLE BROKEN -OUT </t>
  </si>
  <si>
    <t>BRAKES -OUT</t>
  </si>
  <si>
    <t>2102/2103</t>
  </si>
  <si>
    <t xml:space="preserve">NO MOTION-OUT </t>
  </si>
  <si>
    <t xml:space="preserve">STARTING-OUT </t>
  </si>
  <si>
    <t>BATTERY FAULT-OUT</t>
  </si>
  <si>
    <t xml:space="preserve">ACCIDENT-OUT </t>
  </si>
  <si>
    <t>ACCIDENTCABLE VANDALISED - OUT</t>
  </si>
  <si>
    <t>ENGINE STARTING/CABLES VANDALISED-OUT</t>
  </si>
  <si>
    <t>RADIATOR LEAKAGES -OUT</t>
  </si>
  <si>
    <t>5TH WHEEL -OUT</t>
  </si>
  <si>
    <t>UNSUAL NOISE -OUT</t>
  </si>
  <si>
    <t>UNREPORTED ACCIDENT -OUT</t>
  </si>
  <si>
    <t>TROLLEY-OUT</t>
  </si>
  <si>
    <t>24V SHORT CIRCUIT -OUT</t>
  </si>
  <si>
    <t>CANANDRA</t>
  </si>
  <si>
    <t>PARKING BRAKES -OUT</t>
  </si>
  <si>
    <t>FIFTH WHEEL CARRIER CRACKED -OUT</t>
  </si>
  <si>
    <t>SATTHA BHUM</t>
  </si>
  <si>
    <t>MSC DAISY</t>
  </si>
  <si>
    <t>TRAVELLING</t>
  </si>
  <si>
    <t>CONTROL ON</t>
  </si>
  <si>
    <t>LOCK SIGNAL</t>
  </si>
  <si>
    <t>AMUTI</t>
  </si>
  <si>
    <t>STEERING CYLINDER PIN OFF-OUT</t>
  </si>
  <si>
    <t>STARTING-READY AT 1230HRS</t>
  </si>
  <si>
    <t>STEERING LOCK -OUT</t>
  </si>
  <si>
    <t>ENGINE STARTING</t>
  </si>
  <si>
    <t>LOW TYRE PRESSURE</t>
  </si>
  <si>
    <t>SPD COMMUNICATION</t>
  </si>
  <si>
    <t>HOISTING/UMBILICAL SPRING/SLING SNAPPED</t>
  </si>
  <si>
    <t>ANTSWAY WIRE ROPE LOOSE</t>
  </si>
  <si>
    <t>HYD OIL LEAKAGE</t>
  </si>
  <si>
    <t xml:space="preserve">LOCK SIGNAL </t>
  </si>
  <si>
    <t>ENGINE STARTING/SKEW</t>
  </si>
  <si>
    <t xml:space="preserve">AMU JAMEEL </t>
  </si>
  <si>
    <t>CMA/CGM FUZHOU</t>
  </si>
  <si>
    <t>HOIST WIRE ROPE SNAPPED</t>
  </si>
  <si>
    <t>UMBLICAL CABLE SPRING SNAPPED</t>
  </si>
  <si>
    <t>READY AT 1610HRS/LOWERING</t>
  </si>
  <si>
    <t>LOCK SENSOR OFFSET/CARTENARY WIRE PULLEY DETACHED.OUT AT 1940HRS</t>
  </si>
  <si>
    <t>OP. CABIN DOOR REPAIR- AT 1105HRS</t>
  </si>
  <si>
    <t>READY AT 1915HRS</t>
  </si>
  <si>
    <t>SKEWING FAULT</t>
  </si>
  <si>
    <t>STARTING</t>
  </si>
  <si>
    <t>SWIVEL ROTATION FAULT</t>
  </si>
  <si>
    <t>STEERING HYDRAULIC OIL PIPE LEAKAGE.OUT AT 1515HRS</t>
  </si>
  <si>
    <t>5TH WHEEL FAULT</t>
  </si>
  <si>
    <t>STS2101. CARTENARY WIRE ROPE PULLEY DETACHED AND FELL DAMAGING A CONTAINER NO.TEMU NO. 0546445</t>
  </si>
  <si>
    <t>EQUIPMENT AVAILABILITY AS AT 0700HRS</t>
  </si>
  <si>
    <t>TUESDAY 21ST OCTOBER 2025</t>
  </si>
  <si>
    <t>OHS179</t>
  </si>
  <si>
    <t>HTR263</t>
  </si>
  <si>
    <t>MRTT: 108,109,110,113, 114,116,118, 121,122,123, 124.      TTT: 43, 44, 127,133,135,168, 169,248,252,       KTT: 191, 193, 194, 197,203, 212,223, 224, 226, 228, 235,                           HTR:169,173,187,195,246,248, 250,277,282, 284, 285, 288,290, 291,292,294,310,330 334,337,369,370,371,372,380,394,397,</t>
  </si>
  <si>
    <t>RMG05   RTG- 18,19,21,22,23,25, 31,33, 35,39,45, 2-06, 2-07, 2-08, 2-10, 2-20, 2-22   MHC202, MHC203</t>
  </si>
  <si>
    <t>27-OUT: BREAKDOWN     HTR:169,173,187,195,246,248, 250,277,282, 284, 285, 288,290, 291,292,294,310,330 334,337,369,370,371,372,380,394,397,</t>
  </si>
  <si>
    <t xml:space="preserve"> HK 41, 44, 45, 46, 49 ;  HH 33, 35.  ECH  07,09, 14, 17, 18, 20,24. </t>
  </si>
  <si>
    <t>MARATHOPOLIS</t>
  </si>
  <si>
    <t>STEERING PROBLEM-OUT@ 2350HRS</t>
  </si>
  <si>
    <t>ECCENTRIC OVERLOAD</t>
  </si>
  <si>
    <t>TWIN UP FAULT</t>
  </si>
  <si>
    <t>CABLE REEL REEL SPRING SHACKLE SNAPPED</t>
  </si>
  <si>
    <t>RTG28 -STEERED INTO CONTAINER</t>
  </si>
  <si>
    <t>RTG2-05, RTG28</t>
  </si>
  <si>
    <t>KTT193, TTT167</t>
  </si>
  <si>
    <t>SLOW MOTION</t>
  </si>
  <si>
    <t>DIESEL LEAKAGE/ LOCK SIGNAL</t>
  </si>
  <si>
    <t>40FT CONFIRMATION</t>
  </si>
  <si>
    <t>LOW HYDRAULIC OIL</t>
  </si>
  <si>
    <t>LOW BATTERY-OUT@0610HRS</t>
  </si>
  <si>
    <t>ACCIDENT-STEERED INTO CONTAINERS-OUT@ 0120HRS</t>
  </si>
  <si>
    <t>HOIST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</si>
</sst>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"/>
    <numFmt numFmtId="165" formatCode="[h]:mm"/>
    <numFmt numFmtId="166" formatCode="0.000000000000"/>
    <numFmt numFmtId="167" formatCode="[$-F800]dddd\,\ mmmm\ dd\,\ yyyy"/>
    <numFmt numFmtId="168" formatCode="0.000000"/>
    <numFmt numFmtId="169" formatCode=";;;"/>
  </numFmts>
  <fonts count="74">
    <font>
      <sz val="11"/>
      <color theme="1"/>
      <name val="Calibri"/>
      <family val="2"/>
      <scheme val="minor"/>
    </font>
    <font>
      <sz val="18"/>
      <name val="Palatino Linotype"/>
      <family val="1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Palatino Linotype"/>
      <family val="1"/>
    </font>
    <font>
      <b/>
      <sz val="12"/>
      <color theme="1"/>
      <name val="Palatino Linotype"/>
      <family val="1"/>
    </font>
    <font>
      <b/>
      <sz val="14"/>
      <color theme="1"/>
      <name val="Palatino Linotype"/>
      <family val="1"/>
    </font>
    <font>
      <b/>
      <sz val="36"/>
      <color theme="1"/>
      <name val="Palatino Linotype"/>
      <family val="1"/>
    </font>
    <font>
      <sz val="22"/>
      <color theme="1"/>
      <name val="Palatino Linotype"/>
      <family val="1"/>
    </font>
    <font>
      <b/>
      <sz val="22"/>
      <color theme="1"/>
      <name val="Palatino Linotype"/>
      <family val="1"/>
    </font>
    <font>
      <b/>
      <sz val="18"/>
      <color theme="1"/>
      <name val="Palatino Linotype"/>
      <family val="1"/>
    </font>
    <font>
      <sz val="18"/>
      <color theme="1"/>
      <name val="Palatino Linotype"/>
      <family val="1"/>
    </font>
    <font>
      <b/>
      <sz val="16"/>
      <color theme="1"/>
      <name val="Palatino Linotype"/>
      <family val="1"/>
    </font>
    <font>
      <b/>
      <sz val="48"/>
      <color theme="1"/>
      <name val="Palatino Linotype"/>
      <family val="1"/>
    </font>
    <font>
      <sz val="10"/>
      <color theme="1"/>
      <name val="Palatino Linotype"/>
      <family val="1"/>
    </font>
    <font>
      <b/>
      <sz val="11"/>
      <color theme="1"/>
      <name val="Palatino Linotype"/>
      <family val="1"/>
    </font>
    <font>
      <b/>
      <sz val="20"/>
      <color theme="1"/>
      <name val="Palatino Linotype"/>
      <family val="1"/>
    </font>
    <font>
      <sz val="14"/>
      <color theme="1"/>
      <name val="Palatino Linotype"/>
      <family val="1"/>
    </font>
    <font>
      <sz val="12"/>
      <color theme="1"/>
      <name val="Palatino Linotype"/>
      <family val="1"/>
    </font>
    <font>
      <b/>
      <sz val="45"/>
      <color theme="1"/>
      <name val="Palatino Linotype"/>
      <family val="1"/>
    </font>
    <font>
      <sz val="24"/>
      <color theme="1"/>
      <name val="Palatino Linotype"/>
      <family val="1"/>
    </font>
    <font>
      <b/>
      <sz val="24"/>
      <color theme="1"/>
      <name val="Palatino Linotype"/>
      <family val="1"/>
    </font>
    <font>
      <b/>
      <sz val="22"/>
      <name val="Palatino Linotype"/>
      <family val="1"/>
    </font>
    <font>
      <b/>
      <sz val="48"/>
      <color theme="1"/>
      <name val="Arial Black"/>
      <family val="2"/>
    </font>
    <font>
      <sz val="16"/>
      <color theme="1"/>
      <name val="Palatino Linotype"/>
      <family val="1"/>
    </font>
    <font>
      <b/>
      <sz val="15"/>
      <color theme="1"/>
      <name val="Palatino Linotype"/>
      <family val="1"/>
    </font>
    <font>
      <sz val="11"/>
      <color indexed="8"/>
      <name val="Calibri"/>
      <family val="2"/>
    </font>
    <font>
      <sz val="26"/>
      <name val="Times New Roman"/>
      <family val="1"/>
    </font>
    <font>
      <b/>
      <sz val="48"/>
      <color rgb="FFFF0000"/>
      <name val="Palatino Linotype"/>
      <family val="1"/>
    </font>
    <font>
      <sz val="48"/>
      <color theme="1"/>
      <name val="Rockwell Extra Bold"/>
      <family val="1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rgb="FFFF0000"/>
      <name val="Palatino Linotype"/>
      <family val="1"/>
    </font>
    <font>
      <sz val="18"/>
      <color indexed="8"/>
      <name val="Times New Roman"/>
      <family val="1"/>
    </font>
    <font>
      <b/>
      <sz val="8"/>
      <color theme="1"/>
      <name val="Palatino Linotype"/>
      <family val="1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6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22"/>
      <name val="Palatino Linotype"/>
      <family val="1"/>
    </font>
    <font>
      <sz val="24"/>
      <name val="Palatino Linotype"/>
      <family val="1"/>
    </font>
    <font>
      <b/>
      <sz val="24"/>
      <name val="Palatino Linotype"/>
      <family val="1"/>
    </font>
    <font>
      <b/>
      <sz val="14"/>
      <color theme="1"/>
      <name val="Ariel"/>
    </font>
    <font>
      <sz val="14"/>
      <color theme="1"/>
      <name val="Ariel"/>
    </font>
    <font>
      <b/>
      <sz val="16"/>
      <color theme="1"/>
      <name val="Ariel"/>
    </font>
    <font>
      <sz val="11"/>
      <color theme="1"/>
      <name val="Ariel"/>
    </font>
    <font>
      <b/>
      <sz val="14"/>
      <name val="Palatino Linotype"/>
      <family val="1"/>
    </font>
    <font>
      <b/>
      <sz val="28"/>
      <color theme="1"/>
      <name val="Palatino Linotype"/>
      <family val="1"/>
    </font>
    <font>
      <b/>
      <sz val="22"/>
      <color rgb="FFFFC000"/>
      <name val="Palatino Linotype"/>
      <family val="1"/>
    </font>
    <font>
      <b/>
      <sz val="22"/>
      <color theme="0"/>
      <name val="Palatino Linotype"/>
      <family val="1"/>
    </font>
    <font>
      <sz val="28"/>
      <name val="Calibri"/>
      <family val="2"/>
    </font>
    <font>
      <sz val="24"/>
      <color theme="1"/>
      <name val="Calibri"/>
      <family val="2"/>
    </font>
    <font>
      <sz val="24"/>
      <name val="Calibri"/>
      <family val="2"/>
    </font>
    <font>
      <sz val="16"/>
      <name val="Palatino Linotype"/>
      <family val="1"/>
    </font>
    <font>
      <b/>
      <sz val="14"/>
      <name val="Ariel"/>
    </font>
    <font>
      <sz val="26"/>
      <color theme="1"/>
      <name val="Palatino Linotype"/>
      <family val="1"/>
    </font>
    <font>
      <sz val="22"/>
      <color indexed="8"/>
      <name val="Palatino Linotype"/>
      <family val="1"/>
    </font>
    <font>
      <sz val="24"/>
      <color indexed="8"/>
      <name val="Palatino Linotype"/>
      <family val="1"/>
    </font>
    <font>
      <sz val="20"/>
      <name val="Calibri"/>
      <family val="2"/>
    </font>
    <font>
      <sz val="11"/>
      <color indexed="8"/>
      <name val="Calibri"/>
      <family val="2"/>
    </font>
    <font>
      <b/>
      <sz val="12"/>
      <color theme="1"/>
      <name val="Aptos"/>
      <family val="2"/>
    </font>
    <font>
      <b/>
      <sz val="12"/>
      <name val="Aptos"/>
      <family val="2"/>
    </font>
    <font>
      <sz val="11"/>
      <color theme="1"/>
      <name val="Aptos"/>
      <family val="2"/>
    </font>
    <font>
      <b/>
      <sz val="16"/>
      <color theme="1"/>
      <name val="Aptos"/>
      <family val="2"/>
    </font>
    <font>
      <b/>
      <sz val="11"/>
      <color theme="1"/>
      <name val="Verdana"/>
      <family val="2"/>
    </font>
    <font>
      <b/>
      <i/>
      <sz val="12"/>
      <color theme="1"/>
      <name val="Verdana"/>
      <family val="2"/>
    </font>
    <font>
      <b/>
      <sz val="12"/>
      <color theme="1"/>
      <name val="Verdana"/>
      <family val="2"/>
    </font>
    <font>
      <b/>
      <sz val="12"/>
      <color rgb="FFFF0000"/>
      <name val="Verdana"/>
      <family val="2"/>
    </font>
    <font>
      <sz val="12"/>
      <color theme="1"/>
      <name val="Verdana"/>
      <family val="2"/>
    </font>
    <font>
      <b/>
      <sz val="12"/>
      <name val="Verdana"/>
      <family val="2"/>
    </font>
  </fonts>
  <fills count="3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EF9B8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gradientFill type="path">
        <stop position="0">
          <color theme="0"/>
        </stop>
        <stop position="1">
          <color theme="6" tint="0.40000610370189521"/>
        </stop>
      </gradient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C4B04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505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rgb="FF00B05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 style="medium">
        <color rgb="FF00B050"/>
      </right>
      <top/>
      <bottom style="medium">
        <color rgb="FF00B05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B050"/>
      </left>
      <right style="medium">
        <color rgb="FF00B050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  <xf numFmtId="0" fontId="26" fillId="0" borderId="0"/>
    <xf numFmtId="0" fontId="30" fillId="0" borderId="0"/>
    <xf numFmtId="0" fontId="31" fillId="0" borderId="0"/>
    <xf numFmtId="0" fontId="26" fillId="0" borderId="0"/>
    <xf numFmtId="0" fontId="26" fillId="0" borderId="0"/>
    <xf numFmtId="0" fontId="36" fillId="0" borderId="0"/>
    <xf numFmtId="0" fontId="2" fillId="0" borderId="0"/>
    <xf numFmtId="0" fontId="37" fillId="0" borderId="0"/>
    <xf numFmtId="0" fontId="38" fillId="0" borderId="0"/>
    <xf numFmtId="0" fontId="39" fillId="0" borderId="0"/>
    <xf numFmtId="0" fontId="39" fillId="0" borderId="0"/>
    <xf numFmtId="0" fontId="40" fillId="0" borderId="0"/>
    <xf numFmtId="0" fontId="26" fillId="0" borderId="0"/>
    <xf numFmtId="0" fontId="26" fillId="0" borderId="0"/>
    <xf numFmtId="0" fontId="38" fillId="0" borderId="0"/>
    <xf numFmtId="0" fontId="38" fillId="0" borderId="0"/>
    <xf numFmtId="0" fontId="26" fillId="0" borderId="0"/>
    <xf numFmtId="0" fontId="63" fillId="0" borderId="0"/>
    <xf numFmtId="0" fontId="2" fillId="0" borderId="0"/>
    <xf numFmtId="0" fontId="2" fillId="0" borderId="0"/>
    <xf numFmtId="0" fontId="26" fillId="0" borderId="0"/>
  </cellStyleXfs>
  <cellXfs count="1071">
    <xf numFmtId="0" fontId="0" fillId="0" borderId="0" xfId="0"/>
    <xf numFmtId="0" fontId="4" fillId="0" borderId="0" xfId="0" applyFont="1"/>
    <xf numFmtId="0" fontId="4" fillId="0" borderId="1" xfId="0" applyFont="1" applyBorder="1"/>
    <xf numFmtId="0" fontId="4" fillId="3" borderId="0" xfId="0" applyFont="1" applyFill="1"/>
    <xf numFmtId="0" fontId="8" fillId="0" borderId="0" xfId="0" applyFont="1" applyProtection="1">
      <protection locked="0"/>
    </xf>
    <xf numFmtId="0" fontId="9" fillId="0" borderId="0" xfId="0" applyFont="1" applyAlignment="1" applyProtection="1">
      <alignment horizontal="center" vertical="center"/>
      <protection locked="0"/>
    </xf>
    <xf numFmtId="167" fontId="9" fillId="0" borderId="3" xfId="0" applyNumberFormat="1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10" fillId="0" borderId="0" xfId="0" applyFont="1" applyAlignment="1" applyProtection="1">
      <alignment vertical="top"/>
      <protection locked="0"/>
    </xf>
    <xf numFmtId="0" fontId="10" fillId="3" borderId="0" xfId="0" applyFont="1" applyFill="1" applyAlignment="1" applyProtection="1">
      <alignment horizontal="center" vertical="top"/>
      <protection locked="0"/>
    </xf>
    <xf numFmtId="0" fontId="11" fillId="0" borderId="0" xfId="0" applyFont="1" applyAlignment="1" applyProtection="1">
      <alignment vertical="top"/>
      <protection locked="0"/>
    </xf>
    <xf numFmtId="0" fontId="10" fillId="0" borderId="0" xfId="0" applyFont="1" applyProtection="1">
      <protection locked="0"/>
    </xf>
    <xf numFmtId="0" fontId="10" fillId="3" borderId="0" xfId="0" applyFont="1" applyFill="1" applyAlignment="1" applyProtection="1">
      <alignment horizontal="center"/>
      <protection locked="0"/>
    </xf>
    <xf numFmtId="0" fontId="11" fillId="0" borderId="0" xfId="0" applyFont="1" applyProtection="1">
      <protection locked="0"/>
    </xf>
    <xf numFmtId="0" fontId="10" fillId="3" borderId="3" xfId="0" applyFont="1" applyFill="1" applyBorder="1" applyAlignment="1" applyProtection="1">
      <alignment horizontal="center" vertical="center"/>
      <protection locked="0"/>
    </xf>
    <xf numFmtId="0" fontId="10" fillId="3" borderId="4" xfId="0" applyFont="1" applyFill="1" applyBorder="1" applyAlignment="1" applyProtection="1">
      <alignment vertical="center"/>
      <protection locked="0"/>
    </xf>
    <xf numFmtId="0" fontId="10" fillId="3" borderId="0" xfId="0" applyFont="1" applyFill="1" applyAlignment="1" applyProtection="1">
      <alignment vertical="center"/>
      <protection locked="0"/>
    </xf>
    <xf numFmtId="0" fontId="10" fillId="3" borderId="4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/>
      <protection locked="0"/>
    </xf>
    <xf numFmtId="0" fontId="10" fillId="0" borderId="0" xfId="0" applyFont="1" applyAlignment="1" applyProtection="1">
      <alignment vertical="center"/>
      <protection locked="0"/>
    </xf>
    <xf numFmtId="0" fontId="10" fillId="0" borderId="1" xfId="0" applyFont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vertical="center"/>
      <protection locked="0"/>
    </xf>
    <xf numFmtId="165" fontId="11" fillId="0" borderId="0" xfId="0" applyNumberFormat="1" applyFont="1" applyAlignment="1" applyProtection="1">
      <alignment horizontal="center"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0" borderId="0" xfId="0" applyFont="1" applyAlignment="1" applyProtection="1">
      <alignment vertical="center" wrapText="1"/>
      <protection locked="0"/>
    </xf>
    <xf numFmtId="0" fontId="10" fillId="7" borderId="5" xfId="0" applyFont="1" applyFill="1" applyBorder="1" applyAlignment="1">
      <alignment horizontal="center" vertical="center" wrapText="1"/>
    </xf>
    <xf numFmtId="165" fontId="10" fillId="8" borderId="1" xfId="0" applyNumberFormat="1" applyFont="1" applyFill="1" applyBorder="1" applyAlignment="1">
      <alignment horizontal="center" vertical="center"/>
    </xf>
    <xf numFmtId="0" fontId="6" fillId="3" borderId="7" xfId="0" applyFont="1" applyFill="1" applyBorder="1" applyAlignment="1">
      <alignment vertical="top" wrapText="1"/>
    </xf>
    <xf numFmtId="165" fontId="11" fillId="3" borderId="0" xfId="0" applyNumberFormat="1" applyFont="1" applyFill="1" applyAlignment="1" applyProtection="1">
      <alignment horizontal="center" vertical="center"/>
      <protection locked="0"/>
    </xf>
    <xf numFmtId="0" fontId="11" fillId="3" borderId="0" xfId="0" applyFont="1" applyFill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/>
      <protection locked="0"/>
    </xf>
    <xf numFmtId="0" fontId="10" fillId="0" borderId="0" xfId="0" applyFont="1" applyAlignment="1" applyProtection="1">
      <alignment horizontal="center"/>
      <protection locked="0"/>
    </xf>
    <xf numFmtId="167" fontId="10" fillId="0" borderId="8" xfId="0" applyNumberFormat="1" applyFont="1" applyBorder="1" applyAlignment="1" applyProtection="1">
      <alignment vertical="center"/>
      <protection locked="0"/>
    </xf>
    <xf numFmtId="0" fontId="10" fillId="9" borderId="4" xfId="0" applyFont="1" applyFill="1" applyBorder="1" applyAlignment="1" applyProtection="1">
      <alignment vertical="top"/>
      <protection locked="0"/>
    </xf>
    <xf numFmtId="0" fontId="10" fillId="10" borderId="4" xfId="0" applyFont="1" applyFill="1" applyBorder="1" applyAlignment="1" applyProtection="1">
      <alignment vertical="top"/>
      <protection locked="0"/>
    </xf>
    <xf numFmtId="0" fontId="10" fillId="11" borderId="4" xfId="0" applyFont="1" applyFill="1" applyBorder="1" applyAlignment="1" applyProtection="1">
      <alignment vertical="top"/>
      <protection locked="0"/>
    </xf>
    <xf numFmtId="0" fontId="10" fillId="6" borderId="4" xfId="0" applyFont="1" applyFill="1" applyBorder="1" applyProtection="1">
      <protection locked="0"/>
    </xf>
    <xf numFmtId="167" fontId="10" fillId="0" borderId="0" xfId="0" applyNumberFormat="1" applyFont="1" applyAlignment="1" applyProtection="1">
      <alignment vertical="center"/>
      <protection locked="0"/>
    </xf>
    <xf numFmtId="1" fontId="10" fillId="12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 applyProtection="1">
      <alignment vertical="top"/>
      <protection locked="0"/>
    </xf>
    <xf numFmtId="0" fontId="10" fillId="6" borderId="1" xfId="0" applyFont="1" applyFill="1" applyBorder="1" applyProtection="1">
      <protection locked="0"/>
    </xf>
    <xf numFmtId="0" fontId="10" fillId="9" borderId="1" xfId="0" applyFont="1" applyFill="1" applyBorder="1" applyAlignment="1" applyProtection="1">
      <alignment horizontal="center" vertical="top"/>
      <protection locked="0"/>
    </xf>
    <xf numFmtId="0" fontId="10" fillId="7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textRotation="90" wrapText="1"/>
    </xf>
    <xf numFmtId="0" fontId="13" fillId="0" borderId="0" xfId="0" applyFont="1"/>
    <xf numFmtId="0" fontId="13" fillId="0" borderId="1" xfId="0" applyFont="1" applyBorder="1" applyAlignment="1">
      <alignment horizontal="center" textRotation="90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18" borderId="0" xfId="0" applyFont="1" applyFill="1" applyAlignment="1">
      <alignment horizontal="center"/>
    </xf>
    <xf numFmtId="0" fontId="10" fillId="18" borderId="0" xfId="0" applyFont="1" applyFill="1"/>
    <xf numFmtId="0" fontId="12" fillId="2" borderId="23" xfId="0" applyFont="1" applyFill="1" applyBorder="1" applyAlignment="1">
      <alignment horizontal="center"/>
    </xf>
    <xf numFmtId="0" fontId="12" fillId="19" borderId="10" xfId="0" applyFont="1" applyFill="1" applyBorder="1"/>
    <xf numFmtId="0" fontId="10" fillId="19" borderId="10" xfId="0" applyFont="1" applyFill="1" applyBorder="1"/>
    <xf numFmtId="0" fontId="10" fillId="19" borderId="11" xfId="0" applyFont="1" applyFill="1" applyBorder="1"/>
    <xf numFmtId="0" fontId="10" fillId="19" borderId="12" xfId="0" applyFont="1" applyFill="1" applyBorder="1"/>
    <xf numFmtId="0" fontId="12" fillId="19" borderId="13" xfId="0" applyFont="1" applyFill="1" applyBorder="1" applyAlignment="1">
      <alignment horizontal="left"/>
    </xf>
    <xf numFmtId="0" fontId="12" fillId="19" borderId="3" xfId="0" applyFont="1" applyFill="1" applyBorder="1" applyAlignment="1">
      <alignment horizontal="left"/>
    </xf>
    <xf numFmtId="0" fontId="12" fillId="19" borderId="14" xfId="0" applyFont="1" applyFill="1" applyBorder="1" applyAlignment="1">
      <alignment horizontal="left"/>
    </xf>
    <xf numFmtId="1" fontId="12" fillId="2" borderId="23" xfId="0" applyNumberFormat="1" applyFont="1" applyFill="1" applyBorder="1" applyAlignment="1">
      <alignment horizontal="center"/>
    </xf>
    <xf numFmtId="1" fontId="12" fillId="20" borderId="23" xfId="0" applyNumberFormat="1" applyFont="1" applyFill="1" applyBorder="1" applyAlignment="1">
      <alignment horizontal="center"/>
    </xf>
    <xf numFmtId="165" fontId="12" fillId="20" borderId="23" xfId="0" applyNumberFormat="1" applyFont="1" applyFill="1" applyBorder="1"/>
    <xf numFmtId="0" fontId="12" fillId="21" borderId="23" xfId="0" applyFont="1" applyFill="1" applyBorder="1"/>
    <xf numFmtId="1" fontId="12" fillId="2" borderId="24" xfId="0" applyNumberFormat="1" applyFont="1" applyFill="1" applyBorder="1" applyAlignment="1">
      <alignment horizontal="center"/>
    </xf>
    <xf numFmtId="0" fontId="12" fillId="20" borderId="23" xfId="0" applyFont="1" applyFill="1" applyBorder="1"/>
    <xf numFmtId="0" fontId="5" fillId="19" borderId="23" xfId="0" applyFont="1" applyFill="1" applyBorder="1" applyAlignment="1">
      <alignment horizontal="center"/>
    </xf>
    <xf numFmtId="20" fontId="12" fillId="22" borderId="23" xfId="0" applyNumberFormat="1" applyFont="1" applyFill="1" applyBorder="1"/>
    <xf numFmtId="0" fontId="12" fillId="22" borderId="23" xfId="0" applyFont="1" applyFill="1" applyBorder="1"/>
    <xf numFmtId="164" fontId="12" fillId="2" borderId="24" xfId="0" applyNumberFormat="1" applyFont="1" applyFill="1" applyBorder="1" applyAlignment="1">
      <alignment horizontal="center"/>
    </xf>
    <xf numFmtId="164" fontId="12" fillId="2" borderId="23" xfId="0" applyNumberFormat="1" applyFont="1" applyFill="1" applyBorder="1" applyAlignment="1">
      <alignment horizontal="center"/>
    </xf>
    <xf numFmtId="0" fontId="10" fillId="0" borderId="0" xfId="0" applyFont="1" applyAlignment="1">
      <alignment horizontal="left" vertical="center"/>
    </xf>
    <xf numFmtId="0" fontId="4" fillId="19" borderId="6" xfId="0" applyFont="1" applyFill="1" applyBorder="1"/>
    <xf numFmtId="0" fontId="4" fillId="19" borderId="1" xfId="0" applyFont="1" applyFill="1" applyBorder="1"/>
    <xf numFmtId="0" fontId="4" fillId="19" borderId="7" xfId="0" applyFont="1" applyFill="1" applyBorder="1"/>
    <xf numFmtId="0" fontId="4" fillId="19" borderId="0" xfId="0" applyFont="1" applyFill="1"/>
    <xf numFmtId="0" fontId="14" fillId="14" borderId="1" xfId="0" applyFont="1" applyFill="1" applyBorder="1"/>
    <xf numFmtId="0" fontId="14" fillId="0" borderId="1" xfId="0" applyFont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4" fillId="3" borderId="0" xfId="0" applyFont="1" applyFill="1" applyAlignment="1">
      <alignment horizontal="left"/>
    </xf>
    <xf numFmtId="0" fontId="14" fillId="2" borderId="3" xfId="0" applyFont="1" applyFill="1" applyBorder="1"/>
    <xf numFmtId="0" fontId="14" fillId="2" borderId="8" xfId="0" applyFont="1" applyFill="1" applyBorder="1"/>
    <xf numFmtId="0" fontId="14" fillId="2" borderId="4" xfId="0" applyFont="1" applyFill="1" applyBorder="1"/>
    <xf numFmtId="0" fontId="14" fillId="0" borderId="0" xfId="0" applyFont="1" applyAlignment="1">
      <alignment horizontal="left"/>
    </xf>
    <xf numFmtId="0" fontId="14" fillId="2" borderId="0" xfId="0" applyFont="1" applyFill="1" applyAlignment="1">
      <alignment horizontal="left"/>
    </xf>
    <xf numFmtId="0" fontId="4" fillId="3" borderId="16" xfId="0" applyFont="1" applyFill="1" applyBorder="1" applyAlignment="1">
      <alignment horizontal="center"/>
    </xf>
    <xf numFmtId="0" fontId="14" fillId="3" borderId="0" xfId="0" applyFont="1" applyFill="1"/>
    <xf numFmtId="0" fontId="14" fillId="0" borderId="1" xfId="0" applyFont="1" applyBorder="1"/>
    <xf numFmtId="0" fontId="14" fillId="0" borderId="0" xfId="0" applyFont="1"/>
    <xf numFmtId="0" fontId="15" fillId="17" borderId="1" xfId="0" applyFont="1" applyFill="1" applyBorder="1"/>
    <xf numFmtId="0" fontId="4" fillId="9" borderId="0" xfId="0" applyFont="1" applyFill="1"/>
    <xf numFmtId="0" fontId="14" fillId="9" borderId="1" xfId="0" applyFont="1" applyFill="1" applyBorder="1"/>
    <xf numFmtId="1" fontId="9" fillId="2" borderId="1" xfId="0" applyNumberFormat="1" applyFont="1" applyFill="1" applyBorder="1" applyAlignment="1">
      <alignment horizontal="center"/>
    </xf>
    <xf numFmtId="0" fontId="9" fillId="0" borderId="0" xfId="0" applyFont="1" applyAlignment="1" applyProtection="1">
      <alignment horizontal="left" vertical="center"/>
      <protection locked="0"/>
    </xf>
    <xf numFmtId="0" fontId="10" fillId="6" borderId="1" xfId="0" applyFont="1" applyFill="1" applyBorder="1" applyAlignment="1" applyProtection="1">
      <alignment horizontal="center"/>
      <protection locked="0"/>
    </xf>
    <xf numFmtId="0" fontId="8" fillId="0" borderId="0" xfId="0" applyFont="1"/>
    <xf numFmtId="0" fontId="10" fillId="9" borderId="3" xfId="0" applyFont="1" applyFill="1" applyBorder="1" applyAlignment="1">
      <alignment horizontal="center" vertical="center"/>
    </xf>
    <xf numFmtId="0" fontId="10" fillId="10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center" vertical="center"/>
    </xf>
    <xf numFmtId="0" fontId="10" fillId="0" borderId="1" xfId="0" applyFont="1" applyBorder="1"/>
    <xf numFmtId="0" fontId="10" fillId="0" borderId="0" xfId="0" applyFont="1" applyAlignment="1">
      <alignment vertical="center"/>
    </xf>
    <xf numFmtId="0" fontId="10" fillId="0" borderId="1" xfId="0" applyFont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16" fillId="0" borderId="0" xfId="0" applyFont="1" applyProtection="1">
      <protection locked="0"/>
    </xf>
    <xf numFmtId="0" fontId="17" fillId="0" borderId="0" xfId="0" applyFont="1" applyProtection="1">
      <protection locked="0"/>
    </xf>
    <xf numFmtId="0" fontId="4" fillId="0" borderId="1" xfId="0" applyFont="1" applyBorder="1" applyProtection="1">
      <protection locked="0"/>
    </xf>
    <xf numFmtId="0" fontId="18" fillId="0" borderId="0" xfId="0" applyFont="1"/>
    <xf numFmtId="0" fontId="6" fillId="6" borderId="7" xfId="0" applyFont="1" applyFill="1" applyBorder="1"/>
    <xf numFmtId="0" fontId="6" fillId="6" borderId="1" xfId="0" applyFont="1" applyFill="1" applyBorder="1"/>
    <xf numFmtId="0" fontId="18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9" fontId="18" fillId="0" borderId="1" xfId="2" applyFont="1" applyBorder="1" applyAlignment="1">
      <alignment horizontal="center" vertical="center"/>
    </xf>
    <xf numFmtId="164" fontId="15" fillId="15" borderId="1" xfId="2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/>
    </xf>
    <xf numFmtId="0" fontId="11" fillId="18" borderId="1" xfId="0" applyFont="1" applyFill="1" applyBorder="1"/>
    <xf numFmtId="0" fontId="6" fillId="0" borderId="0" xfId="0" applyFont="1"/>
    <xf numFmtId="0" fontId="17" fillId="0" borderId="0" xfId="0" applyFont="1"/>
    <xf numFmtId="0" fontId="18" fillId="0" borderId="1" xfId="0" applyFont="1" applyBorder="1" applyAlignment="1">
      <alignment horizontal="left" vertical="top"/>
    </xf>
    <xf numFmtId="0" fontId="16" fillId="0" borderId="0" xfId="0" applyFont="1"/>
    <xf numFmtId="1" fontId="6" fillId="6" borderId="1" xfId="0" applyNumberFormat="1" applyFont="1" applyFill="1" applyBorder="1" applyAlignment="1">
      <alignment horizontal="center" vertical="center"/>
    </xf>
    <xf numFmtId="0" fontId="10" fillId="14" borderId="1" xfId="0" applyFont="1" applyFill="1" applyBorder="1" applyAlignment="1" applyProtection="1">
      <alignment horizontal="center" vertical="center"/>
      <protection locked="0"/>
    </xf>
    <xf numFmtId="0" fontId="20" fillId="0" borderId="0" xfId="0" applyFont="1"/>
    <xf numFmtId="0" fontId="11" fillId="0" borderId="0" xfId="0" applyFont="1" applyAlignment="1">
      <alignment vertical="top"/>
    </xf>
    <xf numFmtId="0" fontId="20" fillId="0" borderId="1" xfId="0" applyFont="1" applyBorder="1" applyAlignment="1" applyProtection="1">
      <alignment vertical="center"/>
      <protection locked="0"/>
    </xf>
    <xf numFmtId="0" fontId="20" fillId="0" borderId="1" xfId="0" applyFont="1" applyBorder="1" applyAlignment="1" applyProtection="1">
      <alignment vertical="center" wrapText="1"/>
      <protection locked="0"/>
    </xf>
    <xf numFmtId="0" fontId="21" fillId="0" borderId="1" xfId="0" applyFont="1" applyBorder="1" applyAlignment="1" applyProtection="1">
      <alignment vertical="center"/>
      <protection locked="0"/>
    </xf>
    <xf numFmtId="0" fontId="6" fillId="3" borderId="5" xfId="0" applyFont="1" applyFill="1" applyBorder="1" applyAlignment="1">
      <alignment vertical="top" wrapText="1"/>
    </xf>
    <xf numFmtId="0" fontId="8" fillId="0" borderId="0" xfId="0" applyFont="1" applyAlignment="1" applyProtection="1">
      <alignment horizontal="center" vertical="center" wrapText="1"/>
      <protection locked="0"/>
    </xf>
    <xf numFmtId="165" fontId="8" fillId="0" borderId="0" xfId="0" applyNumberFormat="1" applyFont="1" applyAlignment="1" applyProtection="1">
      <alignment horizontal="center" vertical="center"/>
      <protection locked="0"/>
    </xf>
    <xf numFmtId="165" fontId="9" fillId="8" borderId="1" xfId="0" applyNumberFormat="1" applyFont="1" applyFill="1" applyBorder="1" applyAlignment="1">
      <alignment horizontal="center" vertical="center"/>
    </xf>
    <xf numFmtId="1" fontId="9" fillId="12" borderId="1" xfId="0" applyNumberFormat="1" applyFont="1" applyFill="1" applyBorder="1" applyAlignment="1">
      <alignment horizontal="center" vertical="center"/>
    </xf>
    <xf numFmtId="0" fontId="8" fillId="0" borderId="0" xfId="0" applyFont="1" applyAlignment="1" applyProtection="1">
      <alignment vertical="center"/>
      <protection locked="0"/>
    </xf>
    <xf numFmtId="165" fontId="9" fillId="8" borderId="6" xfId="0" applyNumberFormat="1" applyFont="1" applyFill="1" applyBorder="1" applyAlignment="1">
      <alignment horizontal="center" vertical="center"/>
    </xf>
    <xf numFmtId="1" fontId="9" fillId="12" borderId="6" xfId="0" applyNumberFormat="1" applyFont="1" applyFill="1" applyBorder="1" applyAlignment="1">
      <alignment horizontal="center" vertical="center"/>
    </xf>
    <xf numFmtId="165" fontId="8" fillId="0" borderId="1" xfId="0" applyNumberFormat="1" applyFont="1" applyBorder="1" applyAlignment="1" applyProtection="1">
      <alignment horizontal="center" vertical="center"/>
      <protection locked="0"/>
    </xf>
    <xf numFmtId="1" fontId="23" fillId="0" borderId="19" xfId="0" applyNumberFormat="1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18" fillId="0" borderId="0" xfId="0" applyFont="1" applyProtection="1">
      <protection locked="0"/>
    </xf>
    <xf numFmtId="0" fontId="16" fillId="3" borderId="1" xfId="0" applyFont="1" applyFill="1" applyBorder="1" applyAlignment="1" applyProtection="1">
      <alignment horizontal="center" vertical="center"/>
      <protection locked="0"/>
    </xf>
    <xf numFmtId="0" fontId="16" fillId="3" borderId="0" xfId="0" applyFont="1" applyFill="1" applyAlignment="1" applyProtection="1">
      <alignment horizontal="center"/>
      <protection locked="0"/>
    </xf>
    <xf numFmtId="0" fontId="16" fillId="3" borderId="0" xfId="0" applyFont="1" applyFill="1" applyAlignment="1" applyProtection="1">
      <alignment horizontal="center" vertical="center"/>
      <protection locked="0"/>
    </xf>
    <xf numFmtId="0" fontId="16" fillId="3" borderId="4" xfId="0" applyFont="1" applyFill="1" applyBorder="1" applyAlignment="1" applyProtection="1">
      <alignment horizontal="center" vertical="center"/>
      <protection locked="0"/>
    </xf>
    <xf numFmtId="0" fontId="10" fillId="3" borderId="0" xfId="0" applyFont="1" applyFill="1" applyProtection="1">
      <protection locked="0"/>
    </xf>
    <xf numFmtId="0" fontId="10" fillId="26" borderId="1" xfId="0" applyFont="1" applyFill="1" applyBorder="1" applyProtection="1">
      <protection locked="0"/>
    </xf>
    <xf numFmtId="0" fontId="10" fillId="26" borderId="1" xfId="0" applyFont="1" applyFill="1" applyBorder="1" applyAlignment="1" applyProtection="1">
      <alignment horizontal="center" vertical="center"/>
      <protection locked="0"/>
    </xf>
    <xf numFmtId="0" fontId="16" fillId="26" borderId="1" xfId="0" applyFont="1" applyFill="1" applyBorder="1" applyProtection="1">
      <protection locked="0"/>
    </xf>
    <xf numFmtId="0" fontId="16" fillId="26" borderId="1" xfId="0" applyFont="1" applyFill="1" applyBorder="1" applyAlignment="1" applyProtection="1">
      <alignment horizontal="center" vertical="center"/>
      <protection locked="0"/>
    </xf>
    <xf numFmtId="0" fontId="10" fillId="26" borderId="0" xfId="0" applyFont="1" applyFill="1" applyAlignment="1" applyProtection="1">
      <alignment horizontal="center"/>
      <protection locked="0"/>
    </xf>
    <xf numFmtId="0" fontId="10" fillId="26" borderId="0" xfId="0" applyFont="1" applyFill="1" applyAlignment="1" applyProtection="1">
      <alignment vertical="center"/>
      <protection locked="0"/>
    </xf>
    <xf numFmtId="0" fontId="10" fillId="3" borderId="20" xfId="0" applyFont="1" applyFill="1" applyBorder="1" applyAlignment="1" applyProtection="1">
      <alignment horizontal="center" vertical="center"/>
      <protection locked="0"/>
    </xf>
    <xf numFmtId="0" fontId="6" fillId="19" borderId="8" xfId="0" applyFont="1" applyFill="1" applyBorder="1" applyAlignment="1">
      <alignment vertical="top"/>
    </xf>
    <xf numFmtId="0" fontId="6" fillId="19" borderId="4" xfId="0" applyFont="1" applyFill="1" applyBorder="1" applyAlignment="1">
      <alignment vertical="top"/>
    </xf>
    <xf numFmtId="0" fontId="6" fillId="19" borderId="8" xfId="0" applyFont="1" applyFill="1" applyBorder="1"/>
    <xf numFmtId="0" fontId="6" fillId="19" borderId="3" xfId="0" applyFont="1" applyFill="1" applyBorder="1" applyAlignment="1">
      <alignment vertical="center"/>
    </xf>
    <xf numFmtId="0" fontId="6" fillId="19" borderId="8" xfId="0" applyFont="1" applyFill="1" applyBorder="1" applyAlignment="1">
      <alignment vertical="center"/>
    </xf>
    <xf numFmtId="0" fontId="6" fillId="19" borderId="4" xfId="0" applyFont="1" applyFill="1" applyBorder="1" applyAlignment="1">
      <alignment vertical="center"/>
    </xf>
    <xf numFmtId="0" fontId="6" fillId="3" borderId="0" xfId="0" applyFont="1" applyFill="1"/>
    <xf numFmtId="0" fontId="6" fillId="25" borderId="0" xfId="0" applyFont="1" applyFill="1" applyAlignment="1">
      <alignment horizontal="center" vertical="center"/>
    </xf>
    <xf numFmtId="0" fontId="6" fillId="25" borderId="8" xfId="0" applyFont="1" applyFill="1" applyBorder="1"/>
    <xf numFmtId="0" fontId="6" fillId="19" borderId="6" xfId="0" applyFont="1" applyFill="1" applyBorder="1"/>
    <xf numFmtId="0" fontId="6" fillId="19" borderId="5" xfId="0" applyFont="1" applyFill="1" applyBorder="1"/>
    <xf numFmtId="0" fontId="6" fillId="19" borderId="4" xfId="0" applyFont="1" applyFill="1" applyBorder="1"/>
    <xf numFmtId="0" fontId="6" fillId="19" borderId="7" xfId="0" applyFont="1" applyFill="1" applyBorder="1"/>
    <xf numFmtId="0" fontId="6" fillId="19" borderId="3" xfId="0" applyFont="1" applyFill="1" applyBorder="1"/>
    <xf numFmtId="0" fontId="6" fillId="25" borderId="3" xfId="0" applyFont="1" applyFill="1" applyBorder="1"/>
    <xf numFmtId="0" fontId="6" fillId="25" borderId="4" xfId="0" applyFont="1" applyFill="1" applyBorder="1"/>
    <xf numFmtId="0" fontId="10" fillId="14" borderId="7" xfId="0" applyFont="1" applyFill="1" applyBorder="1" applyAlignment="1" applyProtection="1">
      <alignment horizontal="center" vertical="center"/>
      <protection locked="0"/>
    </xf>
    <xf numFmtId="165" fontId="8" fillId="0" borderId="1" xfId="0" applyNumberFormat="1" applyFont="1" applyBorder="1" applyAlignment="1" applyProtection="1">
      <alignment horizontal="center" vertical="center" wrapText="1"/>
      <protection locked="0"/>
    </xf>
    <xf numFmtId="1" fontId="8" fillId="0" borderId="1" xfId="0" applyNumberFormat="1" applyFont="1" applyBorder="1" applyAlignment="1" applyProtection="1">
      <alignment horizontal="center" vertical="center" wrapText="1"/>
      <protection locked="0"/>
    </xf>
    <xf numFmtId="1" fontId="11" fillId="0" borderId="1" xfId="0" applyNumberFormat="1" applyFont="1" applyBorder="1" applyAlignment="1" applyProtection="1">
      <alignment horizontal="center" vertical="center" wrapText="1"/>
      <protection locked="0"/>
    </xf>
    <xf numFmtId="165" fontId="20" fillId="0" borderId="1" xfId="0" applyNumberFormat="1" applyFont="1" applyBorder="1" applyAlignment="1" applyProtection="1">
      <alignment horizontal="center" vertical="center" wrapText="1"/>
      <protection locked="0"/>
    </xf>
    <xf numFmtId="0" fontId="21" fillId="0" borderId="1" xfId="0" applyFont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8" fillId="0" borderId="1" xfId="0" applyFont="1" applyBorder="1" applyAlignment="1" applyProtection="1">
      <alignment horizontal="left" vertical="center"/>
      <protection locked="0"/>
    </xf>
    <xf numFmtId="0" fontId="6" fillId="12" borderId="5" xfId="0" applyFont="1" applyFill="1" applyBorder="1" applyAlignment="1">
      <alignment horizontal="center" vertical="top" wrapText="1"/>
    </xf>
    <xf numFmtId="0" fontId="10" fillId="3" borderId="0" xfId="0" applyFont="1" applyFill="1" applyAlignment="1" applyProtection="1">
      <alignment horizontal="center" vertical="center" wrapText="1"/>
      <protection locked="0"/>
    </xf>
    <xf numFmtId="0" fontId="6" fillId="8" borderId="5" xfId="0" applyFont="1" applyFill="1" applyBorder="1" applyAlignment="1">
      <alignment horizontal="center" vertical="top" wrapText="1"/>
    </xf>
    <xf numFmtId="0" fontId="10" fillId="6" borderId="2" xfId="0" applyFont="1" applyFill="1" applyBorder="1" applyAlignment="1" applyProtection="1">
      <alignment horizontal="center"/>
      <protection locked="0"/>
    </xf>
    <xf numFmtId="0" fontId="10" fillId="6" borderId="2" xfId="0" applyFont="1" applyFill="1" applyBorder="1" applyProtection="1">
      <protection locked="0"/>
    </xf>
    <xf numFmtId="0" fontId="10" fillId="6" borderId="20" xfId="0" applyFont="1" applyFill="1" applyBorder="1" applyProtection="1">
      <protection locked="0"/>
    </xf>
    <xf numFmtId="0" fontId="4" fillId="0" borderId="1" xfId="0" applyFont="1" applyBorder="1" applyAlignment="1" applyProtection="1">
      <alignment horizontal="left"/>
      <protection locked="0"/>
    </xf>
    <xf numFmtId="0" fontId="10" fillId="6" borderId="3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right" vertical="center"/>
    </xf>
    <xf numFmtId="165" fontId="9" fillId="5" borderId="7" xfId="0" applyNumberFormat="1" applyFont="1" applyFill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center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6" fillId="3" borderId="1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" fontId="24" fillId="0" borderId="1" xfId="0" applyNumberFormat="1" applyFont="1" applyBorder="1" applyAlignment="1" applyProtection="1">
      <alignment horizontal="center" vertical="center" wrapText="1"/>
      <protection locked="0"/>
    </xf>
    <xf numFmtId="0" fontId="12" fillId="5" borderId="0" xfId="0" applyFont="1" applyFill="1" applyAlignment="1" applyProtection="1">
      <alignment horizontal="center" vertical="top" wrapText="1"/>
      <protection locked="0"/>
    </xf>
    <xf numFmtId="0" fontId="24" fillId="0" borderId="0" xfId="0" applyFont="1" applyProtection="1">
      <protection locked="0"/>
    </xf>
    <xf numFmtId="0" fontId="24" fillId="0" borderId="0" xfId="0" applyFont="1" applyAlignment="1" applyProtection="1">
      <alignment horizontal="center"/>
      <protection locked="0"/>
    </xf>
    <xf numFmtId="0" fontId="12" fillId="3" borderId="1" xfId="0" applyFont="1" applyFill="1" applyBorder="1" applyAlignment="1">
      <alignment vertical="top" wrapText="1"/>
    </xf>
    <xf numFmtId="0" fontId="12" fillId="5" borderId="1" xfId="0" applyFont="1" applyFill="1" applyBorder="1" applyAlignment="1" applyProtection="1">
      <alignment horizontal="center" vertical="top" wrapText="1"/>
      <protection locked="0"/>
    </xf>
    <xf numFmtId="165" fontId="24" fillId="3" borderId="0" xfId="0" applyNumberFormat="1" applyFont="1" applyFill="1" applyAlignment="1" applyProtection="1">
      <alignment horizontal="center" vertical="center" wrapText="1"/>
      <protection locked="0"/>
    </xf>
    <xf numFmtId="165" fontId="8" fillId="8" borderId="1" xfId="0" applyNumberFormat="1" applyFont="1" applyFill="1" applyBorder="1" applyAlignment="1">
      <alignment horizontal="center" vertical="center"/>
    </xf>
    <xf numFmtId="1" fontId="8" fillId="12" borderId="1" xfId="0" applyNumberFormat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27" fillId="0" borderId="1" xfId="0" applyFont="1" applyBorder="1" applyAlignment="1">
      <alignment vertical="top" wrapText="1"/>
    </xf>
    <xf numFmtId="0" fontId="9" fillId="19" borderId="1" xfId="0" applyFont="1" applyFill="1" applyBorder="1"/>
    <xf numFmtId="0" fontId="9" fillId="19" borderId="1" xfId="0" applyFont="1" applyFill="1" applyBorder="1" applyAlignment="1">
      <alignment horizontal="left" vertical="center"/>
    </xf>
    <xf numFmtId="0" fontId="9" fillId="19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165" fontId="8" fillId="8" borderId="6" xfId="0" applyNumberFormat="1" applyFont="1" applyFill="1" applyBorder="1" applyAlignment="1">
      <alignment horizontal="center" vertical="center"/>
    </xf>
    <xf numFmtId="165" fontId="8" fillId="0" borderId="6" xfId="0" applyNumberFormat="1" applyFont="1" applyBorder="1" applyAlignment="1" applyProtection="1">
      <alignment horizontal="center" vertical="center" wrapText="1"/>
      <protection locked="0"/>
    </xf>
    <xf numFmtId="1" fontId="8" fillId="0" borderId="6" xfId="0" applyNumberFormat="1" applyFont="1" applyBorder="1" applyAlignment="1" applyProtection="1">
      <alignment horizontal="center" vertical="center" wrapText="1"/>
      <protection locked="0"/>
    </xf>
    <xf numFmtId="1" fontId="8" fillId="12" borderId="6" xfId="0" applyNumberFormat="1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vertical="center" wrapText="1"/>
      <protection locked="0"/>
    </xf>
    <xf numFmtId="0" fontId="13" fillId="0" borderId="2" xfId="0" applyFont="1" applyBorder="1" applyAlignment="1">
      <alignment horizontal="center" textRotation="90" wrapText="1"/>
    </xf>
    <xf numFmtId="0" fontId="13" fillId="18" borderId="1" xfId="0" applyFont="1" applyFill="1" applyBorder="1" applyAlignment="1">
      <alignment horizontal="center" vertical="center"/>
    </xf>
    <xf numFmtId="0" fontId="13" fillId="0" borderId="34" xfId="0" applyFont="1" applyBorder="1" applyAlignment="1">
      <alignment horizontal="center"/>
    </xf>
    <xf numFmtId="1" fontId="23" fillId="0" borderId="28" xfId="0" applyNumberFormat="1" applyFont="1" applyBorder="1" applyAlignment="1">
      <alignment horizontal="center" vertical="center"/>
    </xf>
    <xf numFmtId="0" fontId="13" fillId="0" borderId="35" xfId="0" applyFont="1" applyBorder="1" applyAlignment="1">
      <alignment horizontal="center"/>
    </xf>
    <xf numFmtId="0" fontId="13" fillId="13" borderId="9" xfId="0" applyFont="1" applyFill="1" applyBorder="1" applyAlignment="1">
      <alignment horizontal="left"/>
    </xf>
    <xf numFmtId="0" fontId="13" fillId="0" borderId="0" xfId="0" applyFont="1" applyAlignment="1">
      <alignment horizontal="left"/>
    </xf>
    <xf numFmtId="1" fontId="13" fillId="15" borderId="1" xfId="0" applyNumberFormat="1" applyFont="1" applyFill="1" applyBorder="1" applyAlignment="1">
      <alignment horizontal="center" vertical="center"/>
    </xf>
    <xf numFmtId="1" fontId="13" fillId="6" borderId="1" xfId="0" applyNumberFormat="1" applyFont="1" applyFill="1" applyBorder="1" applyAlignment="1">
      <alignment horizontal="center" vertical="center"/>
    </xf>
    <xf numFmtId="20" fontId="13" fillId="6" borderId="1" xfId="0" applyNumberFormat="1" applyFont="1" applyFill="1" applyBorder="1" applyAlignment="1">
      <alignment horizontal="center" vertical="center"/>
    </xf>
    <xf numFmtId="20" fontId="13" fillId="6" borderId="3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" fontId="13" fillId="15" borderId="17" xfId="0" applyNumberFormat="1" applyFont="1" applyFill="1" applyBorder="1" applyAlignment="1">
      <alignment vertical="center"/>
    </xf>
    <xf numFmtId="1" fontId="23" fillId="0" borderId="29" xfId="0" applyNumberFormat="1" applyFont="1" applyBorder="1" applyAlignment="1">
      <alignment horizontal="center" vertical="center"/>
    </xf>
    <xf numFmtId="1" fontId="13" fillId="6" borderId="4" xfId="0" applyNumberFormat="1" applyFont="1" applyFill="1" applyBorder="1" applyAlignment="1">
      <alignment horizontal="center" vertical="center"/>
    </xf>
    <xf numFmtId="1" fontId="23" fillId="0" borderId="18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 textRotation="255"/>
    </xf>
    <xf numFmtId="0" fontId="13" fillId="0" borderId="16" xfId="0" applyFont="1" applyBorder="1" applyAlignment="1">
      <alignment vertical="center" textRotation="255"/>
    </xf>
    <xf numFmtId="0" fontId="13" fillId="0" borderId="0" xfId="0" applyFont="1" applyAlignment="1">
      <alignment horizontal="center"/>
    </xf>
    <xf numFmtId="1" fontId="13" fillId="15" borderId="7" xfId="0" applyNumberFormat="1" applyFont="1" applyFill="1" applyBorder="1" applyAlignment="1">
      <alignment horizontal="center" vertical="center"/>
    </xf>
    <xf numFmtId="1" fontId="13" fillId="15" borderId="6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0" fillId="0" borderId="1" xfId="0" applyFont="1" applyBorder="1" applyAlignment="1" applyProtection="1">
      <alignment horizontal="center" vertical="center" wrapText="1"/>
      <protection locked="0"/>
    </xf>
    <xf numFmtId="0" fontId="11" fillId="3" borderId="0" xfId="0" applyFont="1" applyFill="1" applyAlignment="1" applyProtection="1">
      <alignment horizontal="center" vertical="center" wrapText="1"/>
      <protection locked="0"/>
    </xf>
    <xf numFmtId="0" fontId="8" fillId="0" borderId="5" xfId="0" applyFont="1" applyBorder="1" applyAlignment="1" applyProtection="1">
      <alignment horizontal="center" vertical="center" wrapText="1"/>
      <protection locked="0"/>
    </xf>
    <xf numFmtId="1" fontId="5" fillId="15" borderId="1" xfId="0" applyNumberFormat="1" applyFont="1" applyFill="1" applyBorder="1" applyAlignment="1">
      <alignment horizontal="center" vertical="center"/>
    </xf>
    <xf numFmtId="0" fontId="8" fillId="0" borderId="6" xfId="0" applyFont="1" applyBorder="1" applyAlignment="1" applyProtection="1">
      <alignment vertical="center" wrapText="1"/>
      <protection locked="0"/>
    </xf>
    <xf numFmtId="165" fontId="8" fillId="0" borderId="6" xfId="0" applyNumberFormat="1" applyFont="1" applyBorder="1" applyAlignment="1" applyProtection="1">
      <alignment horizontal="center" vertical="center"/>
      <protection locked="0"/>
    </xf>
    <xf numFmtId="0" fontId="24" fillId="0" borderId="1" xfId="0" applyFont="1" applyBorder="1" applyProtection="1"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1" fontId="23" fillId="0" borderId="43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vertical="center"/>
    </xf>
    <xf numFmtId="0" fontId="13" fillId="0" borderId="21" xfId="0" applyFont="1" applyBorder="1" applyAlignment="1">
      <alignment vertical="center"/>
    </xf>
    <xf numFmtId="1" fontId="13" fillId="0" borderId="2" xfId="0" applyNumberFormat="1" applyFont="1" applyBorder="1" applyAlignment="1">
      <alignment vertical="center"/>
    </xf>
    <xf numFmtId="0" fontId="13" fillId="0" borderId="1" xfId="0" applyFont="1" applyBorder="1" applyAlignment="1">
      <alignment vertical="center"/>
    </xf>
    <xf numFmtId="0" fontId="13" fillId="18" borderId="1" xfId="0" applyFont="1" applyFill="1" applyBorder="1" applyAlignment="1">
      <alignment horizontal="center" vertical="center" wrapText="1"/>
    </xf>
    <xf numFmtId="1" fontId="13" fillId="0" borderId="0" xfId="0" applyNumberFormat="1" applyFont="1" applyAlignment="1">
      <alignment horizontal="center" vertical="center"/>
    </xf>
    <xf numFmtId="0" fontId="32" fillId="9" borderId="1" xfId="0" applyFont="1" applyFill="1" applyBorder="1" applyAlignment="1" applyProtection="1">
      <alignment vertical="top"/>
      <protection locked="0"/>
    </xf>
    <xf numFmtId="0" fontId="10" fillId="0" borderId="1" xfId="0" applyFont="1" applyBorder="1" applyAlignment="1" applyProtection="1">
      <alignment horizontal="center" vertical="top"/>
      <protection locked="0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11" fillId="0" borderId="41" xfId="1" applyFont="1" applyBorder="1" applyAlignment="1" applyProtection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65" fontId="9" fillId="5" borderId="7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5" borderId="1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0" fillId="0" borderId="0" xfId="0" applyFont="1" applyAlignment="1">
      <alignment vertical="top"/>
    </xf>
    <xf numFmtId="0" fontId="24" fillId="0" borderId="1" xfId="0" applyFont="1" applyBorder="1"/>
    <xf numFmtId="165" fontId="12" fillId="5" borderId="1" xfId="0" applyNumberFormat="1" applyFont="1" applyFill="1" applyBorder="1" applyAlignment="1">
      <alignment horizontal="center" vertical="top" wrapText="1"/>
    </xf>
    <xf numFmtId="0" fontId="8" fillId="0" borderId="6" xfId="0" applyFont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top" wrapText="1"/>
    </xf>
    <xf numFmtId="0" fontId="9" fillId="4" borderId="15" xfId="0" applyFont="1" applyFill="1" applyBorder="1" applyAlignment="1">
      <alignment horizontal="center" vertical="center"/>
    </xf>
    <xf numFmtId="0" fontId="9" fillId="0" borderId="0" xfId="0" applyFont="1" applyAlignment="1" applyProtection="1">
      <alignment vertical="center"/>
      <protection locked="0"/>
    </xf>
    <xf numFmtId="1" fontId="16" fillId="2" borderId="0" xfId="0" applyNumberFormat="1" applyFont="1" applyFill="1" applyAlignment="1">
      <alignment horizontal="center"/>
    </xf>
    <xf numFmtId="1" fontId="10" fillId="0" borderId="0" xfId="0" applyNumberFormat="1" applyFont="1"/>
    <xf numFmtId="165" fontId="11" fillId="0" borderId="1" xfId="0" applyNumberFormat="1" applyFont="1" applyBorder="1" applyAlignment="1" applyProtection="1">
      <alignment horizontal="center" vertical="center" wrapText="1"/>
      <protection locked="0"/>
    </xf>
    <xf numFmtId="0" fontId="33" fillId="0" borderId="1" xfId="3" applyFont="1" applyBorder="1" applyAlignment="1" applyProtection="1">
      <alignment horizontal="center" vertical="center" wrapText="1"/>
      <protection locked="0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65" fontId="12" fillId="3" borderId="1" xfId="0" applyNumberFormat="1" applyFont="1" applyFill="1" applyBorder="1" applyAlignment="1">
      <alignment vertical="top" wrapText="1"/>
    </xf>
    <xf numFmtId="165" fontId="6" fillId="3" borderId="5" xfId="0" applyNumberFormat="1" applyFont="1" applyFill="1" applyBorder="1" applyAlignment="1">
      <alignment vertical="top" wrapText="1"/>
    </xf>
    <xf numFmtId="20" fontId="8" fillId="0" borderId="3" xfId="0" applyNumberFormat="1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>
      <alignment vertical="center"/>
    </xf>
    <xf numFmtId="1" fontId="23" fillId="3" borderId="1" xfId="0" applyNumberFormat="1" applyFont="1" applyFill="1" applyBorder="1" applyAlignment="1">
      <alignment horizontal="center" vertical="center"/>
    </xf>
    <xf numFmtId="1" fontId="13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65" fontId="43" fillId="0" borderId="1" xfId="0" applyNumberFormat="1" applyFont="1" applyBorder="1" applyAlignment="1" applyProtection="1">
      <alignment horizontal="center" vertical="center" wrapText="1"/>
      <protection locked="0"/>
    </xf>
    <xf numFmtId="165" fontId="44" fillId="0" borderId="1" xfId="0" applyNumberFormat="1" applyFont="1" applyBorder="1" applyAlignment="1" applyProtection="1">
      <alignment horizontal="center" vertical="center" wrapText="1"/>
      <protection locked="0"/>
    </xf>
    <xf numFmtId="165" fontId="45" fillId="0" borderId="1" xfId="0" applyNumberFormat="1" applyFont="1" applyBorder="1" applyAlignment="1" applyProtection="1">
      <alignment horizontal="center" vertical="center" wrapText="1"/>
      <protection locked="0"/>
    </xf>
    <xf numFmtId="0" fontId="0" fillId="3" borderId="0" xfId="0" applyFill="1"/>
    <xf numFmtId="0" fontId="47" fillId="3" borderId="1" xfId="0" applyFont="1" applyFill="1" applyBorder="1" applyAlignment="1">
      <alignment horizontal="center" vertical="center"/>
    </xf>
    <xf numFmtId="1" fontId="47" fillId="3" borderId="1" xfId="0" applyNumberFormat="1" applyFont="1" applyFill="1" applyBorder="1" applyAlignment="1">
      <alignment horizontal="center" vertical="center"/>
    </xf>
    <xf numFmtId="9" fontId="47" fillId="3" borderId="1" xfId="0" applyNumberFormat="1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left" vertical="center"/>
    </xf>
    <xf numFmtId="1" fontId="13" fillId="24" borderId="18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 wrapText="1"/>
    </xf>
    <xf numFmtId="1" fontId="13" fillId="3" borderId="0" xfId="0" applyNumberFormat="1" applyFont="1" applyFill="1" applyAlignment="1">
      <alignment horizontal="center" vertical="center" wrapText="1"/>
    </xf>
    <xf numFmtId="0" fontId="13" fillId="5" borderId="31" xfId="0" applyFont="1" applyFill="1" applyBorder="1" applyAlignment="1">
      <alignment horizontal="left"/>
    </xf>
    <xf numFmtId="0" fontId="13" fillId="13" borderId="21" xfId="0" applyFont="1" applyFill="1" applyBorder="1" applyAlignment="1">
      <alignment horizontal="left" vertical="center"/>
    </xf>
    <xf numFmtId="0" fontId="13" fillId="13" borderId="2" xfId="0" applyFont="1" applyFill="1" applyBorder="1" applyAlignment="1">
      <alignment horizontal="left" vertical="center"/>
    </xf>
    <xf numFmtId="168" fontId="13" fillId="13" borderId="1" xfId="0" applyNumberFormat="1" applyFont="1" applyFill="1" applyBorder="1" applyAlignment="1">
      <alignment horizontal="left" vertical="center"/>
    </xf>
    <xf numFmtId="0" fontId="13" fillId="0" borderId="21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3" fillId="18" borderId="7" xfId="0" applyFont="1" applyFill="1" applyBorder="1" applyAlignment="1">
      <alignment horizontal="left"/>
    </xf>
    <xf numFmtId="165" fontId="13" fillId="0" borderId="1" xfId="0" applyNumberFormat="1" applyFont="1" applyBorder="1" applyAlignment="1">
      <alignment horizontal="center" vertical="center"/>
    </xf>
    <xf numFmtId="166" fontId="13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168" fontId="13" fillId="0" borderId="1" xfId="0" applyNumberFormat="1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65" fontId="13" fillId="0" borderId="3" xfId="0" applyNumberFormat="1" applyFont="1" applyBorder="1" applyAlignment="1">
      <alignment horizontal="center" vertical="center"/>
    </xf>
    <xf numFmtId="165" fontId="13" fillId="15" borderId="1" xfId="0" applyNumberFormat="1" applyFont="1" applyFill="1" applyBorder="1" applyAlignment="1">
      <alignment horizontal="center" vertical="center"/>
    </xf>
    <xf numFmtId="165" fontId="13" fillId="15" borderId="3" xfId="0" applyNumberFormat="1" applyFont="1" applyFill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166" fontId="13" fillId="0" borderId="6" xfId="0" applyNumberFormat="1" applyFont="1" applyBorder="1" applyAlignment="1">
      <alignment horizontal="center" vertical="center"/>
    </xf>
    <xf numFmtId="168" fontId="13" fillId="0" borderId="6" xfId="0" applyNumberFormat="1" applyFont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13" borderId="9" xfId="0" applyFont="1" applyFill="1" applyBorder="1" applyAlignment="1">
      <alignment horizontal="center" vertical="center"/>
    </xf>
    <xf numFmtId="165" fontId="13" fillId="0" borderId="4" xfId="0" applyNumberFormat="1" applyFont="1" applyBorder="1" applyAlignment="1">
      <alignment horizontal="center" vertical="center"/>
    </xf>
    <xf numFmtId="1" fontId="13" fillId="0" borderId="20" xfId="0" applyNumberFormat="1" applyFont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0" borderId="30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1" fontId="13" fillId="0" borderId="3" xfId="0" applyNumberFormat="1" applyFont="1" applyBorder="1" applyAlignment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165" fontId="13" fillId="13" borderId="8" xfId="0" applyNumberFormat="1" applyFont="1" applyFill="1" applyBorder="1" applyAlignment="1">
      <alignment horizontal="center" vertical="center"/>
    </xf>
    <xf numFmtId="165" fontId="13" fillId="13" borderId="4" xfId="0" applyNumberFormat="1" applyFont="1" applyFill="1" applyBorder="1" applyAlignment="1">
      <alignment horizontal="center" vertical="center"/>
    </xf>
    <xf numFmtId="164" fontId="13" fillId="0" borderId="6" xfId="0" applyNumberFormat="1" applyFont="1" applyBorder="1" applyAlignment="1">
      <alignment horizontal="center" vertical="center"/>
    </xf>
    <xf numFmtId="0" fontId="13" fillId="13" borderId="3" xfId="0" applyFont="1" applyFill="1" applyBorder="1" applyAlignment="1">
      <alignment vertical="center"/>
    </xf>
    <xf numFmtId="0" fontId="13" fillId="13" borderId="8" xfId="0" applyFont="1" applyFill="1" applyBorder="1" applyAlignment="1">
      <alignment vertical="center"/>
    </xf>
    <xf numFmtId="0" fontId="13" fillId="13" borderId="4" xfId="0" applyFont="1" applyFill="1" applyBorder="1" applyAlignment="1">
      <alignment vertical="center"/>
    </xf>
    <xf numFmtId="165" fontId="13" fillId="3" borderId="1" xfId="0" applyNumberFormat="1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 applyAlignment="1">
      <alignment horizontal="left" vertical="center"/>
    </xf>
    <xf numFmtId="1" fontId="13" fillId="3" borderId="1" xfId="0" applyNumberFormat="1" applyFont="1" applyFill="1" applyBorder="1" applyAlignment="1">
      <alignment horizontal="left" vertical="center"/>
    </xf>
    <xf numFmtId="1" fontId="13" fillId="3" borderId="6" xfId="0" applyNumberFormat="1" applyFont="1" applyFill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17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textRotation="255"/>
    </xf>
    <xf numFmtId="1" fontId="13" fillId="0" borderId="17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 textRotation="255"/>
    </xf>
    <xf numFmtId="0" fontId="13" fillId="0" borderId="4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13" borderId="3" xfId="0" applyFont="1" applyFill="1" applyBorder="1" applyAlignment="1">
      <alignment horizontal="left" vertical="center"/>
    </xf>
    <xf numFmtId="0" fontId="13" fillId="13" borderId="8" xfId="0" applyFont="1" applyFill="1" applyBorder="1" applyAlignment="1">
      <alignment horizontal="left" vertical="center"/>
    </xf>
    <xf numFmtId="0" fontId="13" fillId="0" borderId="0" xfId="0" applyFont="1" applyAlignment="1">
      <alignment horizontal="center" textRotation="90"/>
    </xf>
    <xf numFmtId="0" fontId="13" fillId="0" borderId="0" xfId="0" applyFont="1" applyAlignment="1">
      <alignment horizontal="center" textRotation="90" wrapText="1"/>
    </xf>
    <xf numFmtId="0" fontId="13" fillId="0" borderId="0" xfId="0" applyFont="1" applyAlignment="1">
      <alignment horizontal="center" vertical="center" textRotation="255"/>
    </xf>
    <xf numFmtId="0" fontId="13" fillId="0" borderId="0" xfId="0" applyFont="1" applyAlignment="1">
      <alignment vertical="center" textRotation="255"/>
    </xf>
    <xf numFmtId="0" fontId="13" fillId="0" borderId="0" xfId="0" applyFont="1" applyAlignment="1">
      <alignment vertical="center"/>
    </xf>
    <xf numFmtId="1" fontId="13" fillId="0" borderId="0" xfId="0" applyNumberFormat="1" applyFont="1" applyAlignment="1">
      <alignment vertical="center"/>
    </xf>
    <xf numFmtId="20" fontId="13" fillId="0" borderId="0" xfId="0" applyNumberFormat="1" applyFont="1" applyAlignment="1">
      <alignment horizontal="center" vertical="center"/>
    </xf>
    <xf numFmtId="0" fontId="13" fillId="1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13" borderId="0" xfId="0" applyFont="1" applyFill="1" applyAlignment="1">
      <alignment horizontal="left" vertical="center"/>
    </xf>
    <xf numFmtId="2" fontId="13" fillId="3" borderId="0" xfId="0" applyNumberFormat="1" applyFont="1" applyFill="1" applyAlignment="1">
      <alignment vertical="center"/>
    </xf>
    <xf numFmtId="0" fontId="13" fillId="0" borderId="1" xfId="0" applyFont="1" applyBorder="1" applyAlignment="1">
      <alignment horizontal="left" vertical="center"/>
    </xf>
    <xf numFmtId="3" fontId="28" fillId="0" borderId="1" xfId="0" applyNumberFormat="1" applyFont="1" applyBorder="1" applyAlignment="1">
      <alignment horizontal="center" vertical="center"/>
    </xf>
    <xf numFmtId="0" fontId="6" fillId="16" borderId="1" xfId="0" applyFont="1" applyFill="1" applyBorder="1" applyAlignment="1">
      <alignment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16" borderId="1" xfId="0" applyFont="1" applyFill="1" applyBorder="1"/>
    <xf numFmtId="0" fontId="50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27" borderId="1" xfId="0" applyFont="1" applyFill="1" applyBorder="1" applyAlignment="1">
      <alignment vertical="center"/>
    </xf>
    <xf numFmtId="0" fontId="6" fillId="17" borderId="1" xfId="0" applyFont="1" applyFill="1" applyBorder="1" applyAlignment="1" applyProtection="1">
      <alignment horizontal="left" vertical="center"/>
      <protection locked="0"/>
    </xf>
    <xf numFmtId="0" fontId="6" fillId="23" borderId="1" xfId="0" applyFont="1" applyFill="1" applyBorder="1" applyAlignment="1" applyProtection="1">
      <alignment horizontal="left" vertical="center"/>
      <protection locked="0"/>
    </xf>
    <xf numFmtId="0" fontId="6" fillId="23" borderId="1" xfId="0" applyFont="1" applyFill="1" applyBorder="1" applyAlignment="1" applyProtection="1">
      <alignment horizontal="left" vertical="center" wrapText="1"/>
      <protection locked="0"/>
    </xf>
    <xf numFmtId="0" fontId="6" fillId="4" borderId="1" xfId="0" applyFont="1" applyFill="1" applyBorder="1"/>
    <xf numFmtId="0" fontId="6" fillId="27" borderId="1" xfId="0" applyFont="1" applyFill="1" applyBorder="1" applyAlignment="1" applyProtection="1">
      <alignment horizontal="center" vertical="center"/>
      <protection locked="0"/>
    </xf>
    <xf numFmtId="0" fontId="1" fillId="0" borderId="19" xfId="1" applyFont="1" applyBorder="1" applyAlignment="1" applyProtection="1">
      <alignment horizontal="center" vertical="center" wrapText="1"/>
    </xf>
    <xf numFmtId="167" fontId="50" fillId="0" borderId="1" xfId="0" applyNumberFormat="1" applyFont="1" applyBorder="1" applyAlignment="1" applyProtection="1">
      <alignment horizontal="left" vertical="center"/>
      <protection locked="0"/>
    </xf>
    <xf numFmtId="20" fontId="10" fillId="6" borderId="1" xfId="0" applyNumberFormat="1" applyFont="1" applyFill="1" applyBorder="1" applyProtection="1">
      <protection locked="0"/>
    </xf>
    <xf numFmtId="1" fontId="11" fillId="0" borderId="6" xfId="0" applyNumberFormat="1" applyFont="1" applyBorder="1" applyAlignment="1" applyProtection="1">
      <alignment horizontal="center" vertical="center" wrapText="1"/>
      <protection locked="0"/>
    </xf>
    <xf numFmtId="165" fontId="11" fillId="0" borderId="6" xfId="0" applyNumberFormat="1" applyFont="1" applyBorder="1" applyAlignment="1" applyProtection="1">
      <alignment horizontal="center" vertical="center" wrapText="1"/>
      <protection locked="0"/>
    </xf>
    <xf numFmtId="0" fontId="13" fillId="5" borderId="31" xfId="0" applyFont="1" applyFill="1" applyBorder="1" applyAlignment="1">
      <alignment horizontal="center" vertical="center"/>
    </xf>
    <xf numFmtId="0" fontId="10" fillId="3" borderId="5" xfId="0" applyFont="1" applyFill="1" applyBorder="1" applyAlignment="1" applyProtection="1">
      <alignment horizontal="center" vertical="center"/>
      <protection locked="0"/>
    </xf>
    <xf numFmtId="0" fontId="10" fillId="3" borderId="7" xfId="0" applyFont="1" applyFill="1" applyBorder="1" applyAlignment="1" applyProtection="1">
      <alignment horizontal="center" vertical="center"/>
      <protection locked="0"/>
    </xf>
    <xf numFmtId="0" fontId="10" fillId="3" borderId="5" xfId="0" applyFont="1" applyFill="1" applyBorder="1" applyAlignment="1" applyProtection="1">
      <alignment vertical="center"/>
      <protection locked="0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top"/>
    </xf>
    <xf numFmtId="0" fontId="10" fillId="3" borderId="5" xfId="0" applyFont="1" applyFill="1" applyBorder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/>
    <xf numFmtId="14" fontId="10" fillId="3" borderId="0" xfId="0" applyNumberFormat="1" applyFont="1" applyFill="1"/>
    <xf numFmtId="0" fontId="10" fillId="3" borderId="0" xfId="0" applyFont="1" applyFill="1" applyAlignment="1">
      <alignment vertical="top"/>
    </xf>
    <xf numFmtId="0" fontId="9" fillId="3" borderId="0" xfId="0" applyFont="1" applyFill="1" applyAlignment="1">
      <alignment horizontal="center" vertical="center"/>
    </xf>
    <xf numFmtId="0" fontId="9" fillId="3" borderId="0" xfId="0" applyFont="1" applyFill="1" applyAlignment="1" applyProtection="1">
      <alignment horizontal="center" vertical="center"/>
      <protection locked="0"/>
    </xf>
    <xf numFmtId="0" fontId="9" fillId="3" borderId="0" xfId="0" applyFont="1" applyFill="1" applyAlignment="1">
      <alignment vertical="center"/>
    </xf>
    <xf numFmtId="0" fontId="9" fillId="3" borderId="0" xfId="0" applyFont="1" applyFill="1" applyAlignment="1">
      <alignment horizontal="left" vertical="center"/>
    </xf>
    <xf numFmtId="0" fontId="9" fillId="3" borderId="0" xfId="0" applyFont="1" applyFill="1" applyAlignment="1" applyProtection="1">
      <alignment horizontal="left" vertical="center"/>
      <protection locked="0"/>
    </xf>
    <xf numFmtId="0" fontId="4" fillId="3" borderId="0" xfId="0" applyFont="1" applyFill="1" applyProtection="1">
      <protection locked="0"/>
    </xf>
    <xf numFmtId="0" fontId="8" fillId="3" borderId="0" xfId="0" applyFont="1" applyFill="1" applyProtection="1">
      <protection locked="0"/>
    </xf>
    <xf numFmtId="0" fontId="11" fillId="3" borderId="0" xfId="0" applyFont="1" applyFill="1" applyAlignment="1" applyProtection="1">
      <alignment vertical="top"/>
      <protection locked="0"/>
    </xf>
    <xf numFmtId="0" fontId="11" fillId="3" borderId="0" xfId="0" applyFont="1" applyFill="1" applyProtection="1">
      <protection locked="0"/>
    </xf>
    <xf numFmtId="165" fontId="11" fillId="3" borderId="0" xfId="0" applyNumberFormat="1" applyFont="1" applyFill="1" applyAlignment="1" applyProtection="1">
      <alignment horizontal="center" vertical="center" wrapText="1"/>
      <protection locked="0"/>
    </xf>
    <xf numFmtId="1" fontId="11" fillId="3" borderId="0" xfId="0" applyNumberFormat="1" applyFont="1" applyFill="1" applyAlignment="1" applyProtection="1">
      <alignment horizontal="center" vertical="center" wrapText="1"/>
      <protection locked="0"/>
    </xf>
    <xf numFmtId="0" fontId="11" fillId="3" borderId="0" xfId="1" applyFont="1" applyFill="1" applyAlignment="1">
      <alignment horizontal="center" vertical="center" wrapText="1"/>
      <protection locked="0"/>
    </xf>
    <xf numFmtId="0" fontId="4" fillId="3" borderId="0" xfId="0" applyFont="1" applyFill="1" applyAlignment="1" applyProtection="1">
      <alignment horizontal="center"/>
      <protection locked="0"/>
    </xf>
    <xf numFmtId="0" fontId="11" fillId="0" borderId="1" xfId="0" applyFont="1" applyBorder="1" applyAlignment="1" applyProtection="1">
      <alignment horizontal="center" vertical="top"/>
      <protection locked="0"/>
    </xf>
    <xf numFmtId="165" fontId="1" fillId="5" borderId="1" xfId="1" applyNumberFormat="1" applyFont="1" applyFill="1" applyBorder="1" applyAlignment="1" applyProtection="1">
      <alignment horizontal="center" vertical="center" wrapText="1"/>
    </xf>
    <xf numFmtId="0" fontId="21" fillId="0" borderId="0" xfId="0" applyFont="1" applyAlignment="1" applyProtection="1">
      <alignment horizontal="center" vertical="center"/>
      <protection locked="0"/>
    </xf>
    <xf numFmtId="0" fontId="13" fillId="0" borderId="8" xfId="0" applyFont="1" applyBorder="1" applyAlignment="1">
      <alignment vertical="center"/>
    </xf>
    <xf numFmtId="0" fontId="6" fillId="8" borderId="4" xfId="0" applyFont="1" applyFill="1" applyBorder="1" applyAlignment="1" applyProtection="1">
      <alignment horizontal="center" vertical="center"/>
      <protection locked="0"/>
    </xf>
    <xf numFmtId="0" fontId="6" fillId="8" borderId="1" xfId="0" applyFont="1" applyFill="1" applyBorder="1"/>
    <xf numFmtId="0" fontId="6" fillId="8" borderId="1" xfId="0" applyFont="1" applyFill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horizontal="left" vertical="center"/>
      <protection locked="0"/>
    </xf>
    <xf numFmtId="3" fontId="6" fillId="0" borderId="1" xfId="0" applyNumberFormat="1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6" fillId="8" borderId="1" xfId="0" applyFont="1" applyFill="1" applyBorder="1" applyAlignment="1">
      <alignment vertical="center"/>
    </xf>
    <xf numFmtId="0" fontId="6" fillId="0" borderId="1" xfId="0" applyFont="1" applyBorder="1" applyAlignment="1" applyProtection="1">
      <alignment vertical="center"/>
      <protection locked="0"/>
    </xf>
    <xf numFmtId="0" fontId="6" fillId="8" borderId="1" xfId="0" applyFont="1" applyFill="1" applyBorder="1" applyAlignment="1" applyProtection="1">
      <alignment vertical="center"/>
      <protection locked="0"/>
    </xf>
    <xf numFmtId="0" fontId="13" fillId="0" borderId="1" xfId="0" applyFont="1" applyBorder="1" applyAlignment="1">
      <alignment horizontal="left"/>
    </xf>
    <xf numFmtId="0" fontId="13" fillId="3" borderId="1" xfId="0" applyFont="1" applyFill="1" applyBorder="1" applyAlignment="1">
      <alignment vertical="center"/>
    </xf>
    <xf numFmtId="1" fontId="47" fillId="3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9" fontId="47" fillId="3" borderId="0" xfId="0" applyNumberFormat="1" applyFont="1" applyFill="1" applyAlignment="1">
      <alignment horizontal="center" vertical="center"/>
    </xf>
    <xf numFmtId="0" fontId="46" fillId="3" borderId="7" xfId="0" applyFont="1" applyFill="1" applyBorder="1" applyAlignment="1">
      <alignment horizontal="left" vertical="top"/>
    </xf>
    <xf numFmtId="0" fontId="46" fillId="3" borderId="7" xfId="0" applyFont="1" applyFill="1" applyBorder="1" applyAlignment="1">
      <alignment horizontal="left" vertical="top" wrapText="1"/>
    </xf>
    <xf numFmtId="0" fontId="49" fillId="3" borderId="0" xfId="0" applyFont="1" applyFill="1" applyAlignment="1">
      <alignment vertical="center"/>
    </xf>
    <xf numFmtId="0" fontId="46" fillId="13" borderId="49" xfId="0" applyFont="1" applyFill="1" applyBorder="1" applyAlignment="1">
      <alignment horizontal="left" vertical="center"/>
    </xf>
    <xf numFmtId="0" fontId="46" fillId="3" borderId="11" xfId="0" applyFont="1" applyFill="1" applyBorder="1" applyAlignment="1">
      <alignment horizontal="left" vertical="top" wrapText="1"/>
    </xf>
    <xf numFmtId="0" fontId="46" fillId="3" borderId="11" xfId="0" applyFont="1" applyFill="1" applyBorder="1" applyAlignment="1">
      <alignment vertical="center"/>
    </xf>
    <xf numFmtId="0" fontId="6" fillId="8" borderId="50" xfId="0" applyFont="1" applyFill="1" applyBorder="1"/>
    <xf numFmtId="0" fontId="46" fillId="3" borderId="51" xfId="0" applyFont="1" applyFill="1" applyBorder="1" applyAlignment="1">
      <alignment vertical="center"/>
    </xf>
    <xf numFmtId="0" fontId="0" fillId="3" borderId="52" xfId="0" applyFill="1" applyBorder="1"/>
    <xf numFmtId="0" fontId="46" fillId="13" borderId="11" xfId="0" applyFont="1" applyFill="1" applyBorder="1" applyAlignment="1">
      <alignment vertical="center"/>
    </xf>
    <xf numFmtId="0" fontId="46" fillId="3" borderId="12" xfId="0" applyFont="1" applyFill="1" applyBorder="1" applyAlignment="1">
      <alignment vertical="center"/>
    </xf>
    <xf numFmtId="0" fontId="49" fillId="3" borderId="55" xfId="0" applyFont="1" applyFill="1" applyBorder="1" applyAlignment="1">
      <alignment vertical="center"/>
    </xf>
    <xf numFmtId="0" fontId="0" fillId="3" borderId="55" xfId="0" applyFill="1" applyBorder="1"/>
    <xf numFmtId="0" fontId="0" fillId="3" borderId="44" xfId="0" applyFill="1" applyBorder="1"/>
    <xf numFmtId="0" fontId="6" fillId="0" borderId="1" xfId="0" applyFont="1" applyBorder="1" applyAlignment="1">
      <alignment vertical="center"/>
    </xf>
    <xf numFmtId="0" fontId="6" fillId="0" borderId="50" xfId="0" applyFont="1" applyBorder="1" applyAlignment="1">
      <alignment vertical="center"/>
    </xf>
    <xf numFmtId="0" fontId="7" fillId="0" borderId="16" xfId="0" applyFont="1" applyBorder="1" applyAlignment="1">
      <alignment horizontal="center"/>
    </xf>
    <xf numFmtId="0" fontId="9" fillId="0" borderId="1" xfId="0" applyFont="1" applyBorder="1"/>
    <xf numFmtId="0" fontId="9" fillId="0" borderId="0" xfId="0" applyFont="1"/>
    <xf numFmtId="1" fontId="9" fillId="0" borderId="1" xfId="0" applyNumberFormat="1" applyFont="1" applyBorder="1"/>
    <xf numFmtId="1" fontId="52" fillId="0" borderId="0" xfId="0" applyNumberFormat="1" applyFont="1" applyAlignment="1">
      <alignment horizontal="center"/>
    </xf>
    <xf numFmtId="1" fontId="53" fillId="0" borderId="0" xfId="0" applyNumberFormat="1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10" fillId="3" borderId="0" xfId="0" applyFont="1" applyFill="1"/>
    <xf numFmtId="0" fontId="10" fillId="3" borderId="0" xfId="0" applyFont="1" applyFill="1" applyAlignment="1">
      <alignment horizontal="center"/>
    </xf>
    <xf numFmtId="2" fontId="13" fillId="0" borderId="3" xfId="0" applyNumberFormat="1" applyFont="1" applyBorder="1" applyAlignment="1">
      <alignment horizontal="left" vertical="center"/>
    </xf>
    <xf numFmtId="2" fontId="13" fillId="0" borderId="8" xfId="0" applyNumberFormat="1" applyFont="1" applyBorder="1" applyAlignment="1">
      <alignment horizontal="center" vertical="center"/>
    </xf>
    <xf numFmtId="2" fontId="13" fillId="0" borderId="4" xfId="0" applyNumberFormat="1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left" vertical="top" wrapText="1"/>
      <protection locked="0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54" fillId="0" borderId="3" xfId="1" applyFont="1" applyBorder="1" applyAlignment="1" applyProtection="1">
      <alignment horizontal="center" vertical="center" wrapText="1"/>
      <protection locked="0"/>
    </xf>
    <xf numFmtId="0" fontId="55" fillId="0" borderId="1" xfId="1" applyFont="1" applyBorder="1" applyAlignment="1" applyProtection="1">
      <alignment horizontal="center" vertical="center" wrapText="1"/>
      <protection locked="0"/>
    </xf>
    <xf numFmtId="0" fontId="10" fillId="26" borderId="6" xfId="0" applyFont="1" applyFill="1" applyBorder="1" applyAlignment="1" applyProtection="1">
      <alignment horizontal="center"/>
      <protection locked="0"/>
    </xf>
    <xf numFmtId="0" fontId="10" fillId="26" borderId="7" xfId="0" applyFont="1" applyFill="1" applyBorder="1" applyAlignment="1" applyProtection="1">
      <alignment vertical="center"/>
      <protection locked="0"/>
    </xf>
    <xf numFmtId="0" fontId="58" fillId="3" borderId="11" xfId="0" applyFont="1" applyFill="1" applyBorder="1" applyAlignment="1">
      <alignment vertical="center"/>
    </xf>
    <xf numFmtId="0" fontId="26" fillId="3" borderId="15" xfId="3" applyFill="1" applyBorder="1"/>
    <xf numFmtId="0" fontId="26" fillId="3" borderId="9" xfId="3" applyFill="1" applyBorder="1"/>
    <xf numFmtId="0" fontId="26" fillId="3" borderId="22" xfId="3" applyFill="1" applyBorder="1"/>
    <xf numFmtId="0" fontId="26" fillId="3" borderId="16" xfId="3" applyFill="1" applyBorder="1"/>
    <xf numFmtId="0" fontId="26" fillId="3" borderId="0" xfId="3" applyFill="1"/>
    <xf numFmtId="0" fontId="26" fillId="3" borderId="17" xfId="3" applyFill="1" applyBorder="1"/>
    <xf numFmtId="0" fontId="26" fillId="3" borderId="21" xfId="3" applyFill="1" applyBorder="1"/>
    <xf numFmtId="0" fontId="26" fillId="3" borderId="2" xfId="3" applyFill="1" applyBorder="1"/>
    <xf numFmtId="0" fontId="26" fillId="3" borderId="20" xfId="3" applyFill="1" applyBorder="1"/>
    <xf numFmtId="0" fontId="17" fillId="3" borderId="9" xfId="0" applyFont="1" applyFill="1" applyBorder="1" applyProtection="1">
      <protection locked="0"/>
    </xf>
    <xf numFmtId="0" fontId="17" fillId="3" borderId="0" xfId="0" applyFont="1" applyFill="1" applyProtection="1">
      <protection locked="0"/>
    </xf>
    <xf numFmtId="0" fontId="17" fillId="3" borderId="2" xfId="0" applyFont="1" applyFill="1" applyBorder="1" applyProtection="1">
      <protection locked="0"/>
    </xf>
    <xf numFmtId="0" fontId="56" fillId="0" borderId="1" xfId="1" applyFont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 textRotation="180"/>
    </xf>
    <xf numFmtId="0" fontId="13" fillId="0" borderId="17" xfId="0" applyFont="1" applyBorder="1" applyAlignment="1">
      <alignment horizontal="center" vertical="center" textRotation="180"/>
    </xf>
    <xf numFmtId="0" fontId="59" fillId="0" borderId="0" xfId="0" applyFont="1" applyAlignment="1" applyProtection="1">
      <alignment horizontal="center" vertical="center"/>
      <protection locked="0"/>
    </xf>
    <xf numFmtId="20" fontId="4" fillId="0" borderId="0" xfId="0" applyNumberFormat="1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18" fillId="0" borderId="1" xfId="0" applyFont="1" applyBorder="1" applyAlignment="1" applyProtection="1">
      <alignment horizontal="left" vertical="center" wrapText="1"/>
      <protection locked="0"/>
    </xf>
    <xf numFmtId="0" fontId="18" fillId="0" borderId="0" xfId="0" applyFont="1" applyAlignment="1" applyProtection="1">
      <alignment horizontal="left" vertical="center" wrapText="1"/>
      <protection locked="0"/>
    </xf>
    <xf numFmtId="0" fontId="5" fillId="13" borderId="1" xfId="0" applyFont="1" applyFill="1" applyBorder="1" applyAlignment="1">
      <alignment horizontal="left" vertical="center"/>
    </xf>
    <xf numFmtId="0" fontId="5" fillId="13" borderId="6" xfId="0" applyFont="1" applyFill="1" applyBorder="1" applyAlignment="1">
      <alignment horizontal="left" vertical="center"/>
    </xf>
    <xf numFmtId="166" fontId="13" fillId="0" borderId="4" xfId="0" applyNumberFormat="1" applyFont="1" applyBorder="1" applyAlignment="1">
      <alignment horizontal="center" vertical="center"/>
    </xf>
    <xf numFmtId="165" fontId="8" fillId="0" borderId="7" xfId="0" applyNumberFormat="1" applyFont="1" applyBorder="1" applyAlignment="1" applyProtection="1">
      <alignment horizontal="center" vertical="center" wrapText="1"/>
      <protection locked="0"/>
    </xf>
    <xf numFmtId="1" fontId="8" fillId="0" borderId="7" xfId="0" applyNumberFormat="1" applyFont="1" applyBorder="1" applyAlignment="1" applyProtection="1">
      <alignment horizontal="center" vertical="center" wrapText="1"/>
      <protection locked="0"/>
    </xf>
    <xf numFmtId="1" fontId="8" fillId="0" borderId="0" xfId="0" applyNumberFormat="1" applyFont="1" applyAlignment="1" applyProtection="1">
      <alignment horizontal="center" vertical="center" wrapText="1"/>
      <protection locked="0"/>
    </xf>
    <xf numFmtId="0" fontId="13" fillId="0" borderId="2" xfId="0" applyFont="1" applyBorder="1" applyAlignment="1">
      <alignment vertical="center"/>
    </xf>
    <xf numFmtId="0" fontId="5" fillId="13" borderId="1" xfId="0" applyFont="1" applyFill="1" applyBorder="1" applyAlignment="1">
      <alignment horizontal="center" vertical="center"/>
    </xf>
    <xf numFmtId="0" fontId="5" fillId="13" borderId="7" xfId="0" applyFont="1" applyFill="1" applyBorder="1" applyAlignment="1" applyProtection="1">
      <alignment horizontal="left" vertical="center"/>
      <protection locked="0"/>
    </xf>
    <xf numFmtId="0" fontId="18" fillId="0" borderId="4" xfId="0" applyFont="1" applyBorder="1" applyAlignment="1" applyProtection="1">
      <alignment horizontal="left" vertical="center"/>
      <protection locked="0"/>
    </xf>
    <xf numFmtId="0" fontId="18" fillId="0" borderId="7" xfId="0" applyFont="1" applyBorder="1" applyAlignment="1" applyProtection="1">
      <alignment horizontal="left" vertical="center" wrapText="1"/>
      <protection locked="0"/>
    </xf>
    <xf numFmtId="0" fontId="18" fillId="0" borderId="58" xfId="0" applyFont="1" applyBorder="1" applyAlignment="1" applyProtection="1">
      <alignment horizontal="left" vertical="center" wrapText="1"/>
      <protection locked="0"/>
    </xf>
    <xf numFmtId="0" fontId="18" fillId="0" borderId="60" xfId="0" applyFont="1" applyBorder="1" applyAlignment="1" applyProtection="1">
      <alignment horizontal="left" vertical="center" wrapText="1"/>
      <protection locked="0"/>
    </xf>
    <xf numFmtId="165" fontId="56" fillId="0" borderId="1" xfId="1" applyNumberFormat="1" applyFont="1" applyBorder="1" applyAlignment="1" applyProtection="1">
      <alignment horizontal="center" vertical="center" wrapText="1"/>
      <protection locked="0"/>
    </xf>
    <xf numFmtId="0" fontId="62" fillId="0" borderId="1" xfId="1" applyFont="1" applyBorder="1" applyAlignment="1" applyProtection="1">
      <alignment horizontal="center" vertical="center" wrapText="1"/>
      <protection locked="0"/>
    </xf>
    <xf numFmtId="0" fontId="5" fillId="13" borderId="57" xfId="0" applyFont="1" applyFill="1" applyBorder="1" applyAlignment="1">
      <alignment vertical="center"/>
    </xf>
    <xf numFmtId="0" fontId="5" fillId="13" borderId="59" xfId="0" applyFont="1" applyFill="1" applyBorder="1" applyAlignment="1">
      <alignment vertical="center"/>
    </xf>
    <xf numFmtId="0" fontId="13" fillId="0" borderId="21" xfId="0" applyFont="1" applyBorder="1" applyAlignment="1">
      <alignment horizontal="center" vertical="center" textRotation="255"/>
    </xf>
    <xf numFmtId="0" fontId="13" fillId="0" borderId="2" xfId="0" applyFont="1" applyBorder="1" applyAlignment="1">
      <alignment horizontal="center" vertical="center" textRotation="255"/>
    </xf>
    <xf numFmtId="0" fontId="13" fillId="0" borderId="20" xfId="0" applyFont="1" applyBorder="1" applyAlignment="1">
      <alignment horizontal="center" vertical="center" textRotation="255"/>
    </xf>
    <xf numFmtId="1" fontId="13" fillId="15" borderId="0" xfId="0" applyNumberFormat="1" applyFont="1" applyFill="1" applyAlignment="1">
      <alignment vertical="center"/>
    </xf>
    <xf numFmtId="0" fontId="13" fillId="3" borderId="7" xfId="0" applyFont="1" applyFill="1" applyBorder="1" applyAlignment="1">
      <alignment horizontal="center" vertical="center"/>
    </xf>
    <xf numFmtId="3" fontId="13" fillId="3" borderId="3" xfId="0" applyNumberFormat="1" applyFont="1" applyFill="1" applyBorder="1" applyAlignment="1">
      <alignment horizontal="left" vertical="center"/>
    </xf>
    <xf numFmtId="0" fontId="13" fillId="3" borderId="8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3" fontId="13" fillId="3" borderId="21" xfId="0" applyNumberFormat="1" applyFont="1" applyFill="1" applyBorder="1" applyAlignment="1">
      <alignment horizontal="left" vertical="center"/>
    </xf>
    <xf numFmtId="3" fontId="13" fillId="3" borderId="20" xfId="0" applyNumberFormat="1" applyFont="1" applyFill="1" applyBorder="1" applyAlignment="1">
      <alignment horizontal="left" vertical="center"/>
    </xf>
    <xf numFmtId="3" fontId="13" fillId="3" borderId="1" xfId="0" applyNumberFormat="1" applyFont="1" applyFill="1" applyBorder="1" applyAlignment="1">
      <alignment horizontal="left" vertical="center"/>
    </xf>
    <xf numFmtId="0" fontId="6" fillId="17" borderId="3" xfId="0" applyFont="1" applyFill="1" applyBorder="1" applyAlignment="1" applyProtection="1">
      <alignment horizontal="left" vertical="center" wrapText="1"/>
      <protection locked="0"/>
    </xf>
    <xf numFmtId="0" fontId="6" fillId="17" borderId="3" xfId="0" applyFont="1" applyFill="1" applyBorder="1" applyAlignment="1" applyProtection="1">
      <alignment horizontal="left" wrapText="1"/>
      <protection locked="0"/>
    </xf>
    <xf numFmtId="20" fontId="8" fillId="0" borderId="1" xfId="0" applyNumberFormat="1" applyFont="1" applyBorder="1" applyAlignment="1" applyProtection="1">
      <alignment horizontal="center" vertical="center" wrapText="1"/>
      <protection locked="0"/>
    </xf>
    <xf numFmtId="165" fontId="11" fillId="0" borderId="4" xfId="0" applyNumberFormat="1" applyFont="1" applyBorder="1" applyAlignment="1" applyProtection="1">
      <alignment horizontal="center" vertical="center" wrapText="1"/>
      <protection locked="0"/>
    </xf>
    <xf numFmtId="0" fontId="33" fillId="0" borderId="6" xfId="3" applyFont="1" applyBorder="1" applyAlignment="1" applyProtection="1">
      <alignment horizontal="center" vertical="center" wrapText="1"/>
      <protection locked="0"/>
    </xf>
    <xf numFmtId="0" fontId="45" fillId="0" borderId="1" xfId="0" applyFont="1" applyBorder="1" applyAlignment="1" applyProtection="1">
      <alignment horizontal="center" vertical="center"/>
      <protection locked="0"/>
    </xf>
    <xf numFmtId="0" fontId="44" fillId="0" borderId="1" xfId="0" applyFont="1" applyBorder="1" applyAlignment="1" applyProtection="1">
      <alignment vertical="center" wrapText="1"/>
      <protection locked="0"/>
    </xf>
    <xf numFmtId="0" fontId="25" fillId="5" borderId="1" xfId="0" applyFont="1" applyFill="1" applyBorder="1" applyAlignment="1">
      <alignment horizontal="center" vertical="top" wrapText="1"/>
    </xf>
    <xf numFmtId="0" fontId="33" fillId="0" borderId="1" xfId="0" applyFont="1" applyBorder="1" applyAlignment="1" applyProtection="1">
      <alignment horizontal="center" vertical="center" wrapText="1"/>
      <protection locked="0"/>
    </xf>
    <xf numFmtId="0" fontId="60" fillId="0" borderId="1" xfId="0" applyFont="1" applyBorder="1" applyAlignment="1" applyProtection="1">
      <alignment horizontal="center" wrapText="1"/>
      <protection locked="0"/>
    </xf>
    <xf numFmtId="0" fontId="10" fillId="5" borderId="0" xfId="0" applyFont="1" applyFill="1" applyAlignment="1">
      <alignment horizontal="center" vertical="center" wrapText="1"/>
    </xf>
    <xf numFmtId="165" fontId="11" fillId="5" borderId="1" xfId="0" applyNumberFormat="1" applyFont="1" applyFill="1" applyBorder="1" applyAlignment="1">
      <alignment horizontal="center" vertical="center" wrapText="1"/>
    </xf>
    <xf numFmtId="1" fontId="11" fillId="27" borderId="1" xfId="0" applyNumberFormat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vertical="center" wrapText="1"/>
    </xf>
    <xf numFmtId="0" fontId="11" fillId="27" borderId="1" xfId="0" applyFont="1" applyFill="1" applyBorder="1" applyAlignment="1">
      <alignment horizontal="center" vertical="center"/>
    </xf>
    <xf numFmtId="0" fontId="11" fillId="27" borderId="1" xfId="0" applyFont="1" applyFill="1" applyBorder="1" applyAlignment="1">
      <alignment horizontal="center" vertical="center" wrapText="1"/>
    </xf>
    <xf numFmtId="165" fontId="11" fillId="3" borderId="0" xfId="0" applyNumberFormat="1" applyFont="1" applyFill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 vertical="center"/>
    </xf>
    <xf numFmtId="1" fontId="10" fillId="30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 wrapText="1"/>
    </xf>
    <xf numFmtId="1" fontId="11" fillId="30" borderId="41" xfId="0" applyNumberFormat="1" applyFont="1" applyFill="1" applyBorder="1" applyAlignment="1">
      <alignment horizontal="center" vertical="center" wrapText="1"/>
    </xf>
    <xf numFmtId="0" fontId="11" fillId="0" borderId="42" xfId="0" applyFont="1" applyBorder="1" applyAlignment="1">
      <alignment vertical="center" wrapText="1"/>
    </xf>
    <xf numFmtId="0" fontId="4" fillId="0" borderId="42" xfId="0" applyFont="1" applyBorder="1"/>
    <xf numFmtId="165" fontId="10" fillId="5" borderId="1" xfId="0" applyNumberFormat="1" applyFont="1" applyFill="1" applyBorder="1" applyAlignment="1">
      <alignment horizontal="center" vertical="center" wrapText="1"/>
    </xf>
    <xf numFmtId="0" fontId="4" fillId="30" borderId="1" xfId="0" applyFont="1" applyFill="1" applyBorder="1"/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vertical="center"/>
    </xf>
    <xf numFmtId="0" fontId="21" fillId="0" borderId="0" xfId="0" applyFont="1"/>
    <xf numFmtId="0" fontId="10" fillId="0" borderId="1" xfId="0" applyFont="1" applyBorder="1" applyAlignment="1">
      <alignment vertical="top"/>
    </xf>
    <xf numFmtId="0" fontId="10" fillId="9" borderId="3" xfId="0" applyFont="1" applyFill="1" applyBorder="1" applyAlignment="1">
      <alignment vertical="center"/>
    </xf>
    <xf numFmtId="0" fontId="10" fillId="9" borderId="8" xfId="0" applyFont="1" applyFill="1" applyBorder="1" applyAlignment="1">
      <alignment vertical="center"/>
    </xf>
    <xf numFmtId="0" fontId="10" fillId="9" borderId="4" xfId="0" applyFont="1" applyFill="1" applyBorder="1" applyAlignment="1">
      <alignment vertical="center"/>
    </xf>
    <xf numFmtId="0" fontId="10" fillId="10" borderId="3" xfId="0" applyFont="1" applyFill="1" applyBorder="1" applyAlignment="1">
      <alignment vertical="center"/>
    </xf>
    <xf numFmtId="0" fontId="10" fillId="10" borderId="8" xfId="0" applyFont="1" applyFill="1" applyBorder="1" applyAlignment="1">
      <alignment vertical="center"/>
    </xf>
    <xf numFmtId="0" fontId="10" fillId="10" borderId="4" xfId="0" applyFont="1" applyFill="1" applyBorder="1" applyAlignment="1">
      <alignment vertical="center"/>
    </xf>
    <xf numFmtId="0" fontId="10" fillId="11" borderId="3" xfId="0" applyFont="1" applyFill="1" applyBorder="1" applyAlignment="1">
      <alignment vertical="center"/>
    </xf>
    <xf numFmtId="0" fontId="10" fillId="11" borderId="8" xfId="0" applyFont="1" applyFill="1" applyBorder="1" applyAlignment="1">
      <alignment vertical="center"/>
    </xf>
    <xf numFmtId="0" fontId="10" fillId="11" borderId="4" xfId="0" applyFont="1" applyFill="1" applyBorder="1" applyAlignment="1">
      <alignment vertical="center"/>
    </xf>
    <xf numFmtId="0" fontId="10" fillId="6" borderId="4" xfId="0" applyFont="1" applyFill="1" applyBorder="1"/>
    <xf numFmtId="0" fontId="10" fillId="6" borderId="1" xfId="0" applyFont="1" applyFill="1" applyBorder="1"/>
    <xf numFmtId="0" fontId="11" fillId="0" borderId="0" xfId="0" applyFont="1"/>
    <xf numFmtId="0" fontId="10" fillId="6" borderId="0" xfId="0" applyFont="1" applyFill="1" applyAlignment="1">
      <alignment horizontal="center"/>
    </xf>
    <xf numFmtId="0" fontId="10" fillId="14" borderId="3" xfId="0" applyFont="1" applyFill="1" applyBorder="1" applyAlignment="1">
      <alignment horizontal="center" vertical="center"/>
    </xf>
    <xf numFmtId="0" fontId="10" fillId="14" borderId="4" xfId="0" applyFont="1" applyFill="1" applyBorder="1"/>
    <xf numFmtId="0" fontId="10" fillId="14" borderId="1" xfId="0" applyFont="1" applyFill="1" applyBorder="1"/>
    <xf numFmtId="0" fontId="10" fillId="8" borderId="3" xfId="0" applyFont="1" applyFill="1" applyBorder="1" applyAlignment="1">
      <alignment vertical="top" wrapText="1"/>
    </xf>
    <xf numFmtId="0" fontId="10" fillId="14" borderId="1" xfId="0" applyFont="1" applyFill="1" applyBorder="1" applyAlignment="1">
      <alignment vertical="center"/>
    </xf>
    <xf numFmtId="0" fontId="10" fillId="8" borderId="3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vertical="center" wrapText="1"/>
    </xf>
    <xf numFmtId="0" fontId="10" fillId="14" borderId="20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0" fontId="10" fillId="0" borderId="6" xfId="0" applyFont="1" applyBorder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0" fillId="8" borderId="6" xfId="0" applyFont="1" applyFill="1" applyBorder="1" applyAlignment="1">
      <alignment vertical="center"/>
    </xf>
    <xf numFmtId="165" fontId="21" fillId="8" borderId="1" xfId="0" applyNumberFormat="1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165" fontId="4" fillId="31" borderId="1" xfId="0" applyNumberFormat="1" applyFont="1" applyFill="1" applyBorder="1"/>
    <xf numFmtId="165" fontId="21" fillId="5" borderId="1" xfId="0" applyNumberFormat="1" applyFont="1" applyFill="1" applyBorder="1" applyAlignment="1">
      <alignment horizontal="center" vertical="center" wrapText="1"/>
    </xf>
    <xf numFmtId="165" fontId="21" fillId="31" borderId="1" xfId="0" applyNumberFormat="1" applyFont="1" applyFill="1" applyBorder="1" applyAlignment="1">
      <alignment horizontal="center" vertical="center" wrapText="1"/>
    </xf>
    <xf numFmtId="165" fontId="6" fillId="31" borderId="1" xfId="0" applyNumberFormat="1" applyFont="1" applyFill="1" applyBorder="1" applyAlignment="1">
      <alignment horizontal="center" vertical="top" wrapText="1"/>
    </xf>
    <xf numFmtId="0" fontId="10" fillId="8" borderId="1" xfId="0" applyFont="1" applyFill="1" applyBorder="1"/>
    <xf numFmtId="0" fontId="21" fillId="31" borderId="6" xfId="0" applyFont="1" applyFill="1" applyBorder="1" applyAlignment="1">
      <alignment horizontal="center"/>
    </xf>
    <xf numFmtId="0" fontId="61" fillId="0" borderId="1" xfId="0" applyFont="1" applyBorder="1" applyAlignment="1" applyProtection="1">
      <alignment horizontal="center" vertical="center" wrapText="1"/>
      <protection locked="0"/>
    </xf>
    <xf numFmtId="20" fontId="11" fillId="0" borderId="1" xfId="0" applyNumberFormat="1" applyFont="1" applyBorder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/>
      <protection locked="0"/>
    </xf>
    <xf numFmtId="1" fontId="23" fillId="23" borderId="1" xfId="0" applyNumberFormat="1" applyFont="1" applyFill="1" applyBorder="1" applyAlignment="1">
      <alignment horizontal="center" vertical="center"/>
    </xf>
    <xf numFmtId="1" fontId="23" fillId="23" borderId="29" xfId="0" applyNumberFormat="1" applyFont="1" applyFill="1" applyBorder="1" applyAlignment="1">
      <alignment horizontal="center" vertical="center"/>
    </xf>
    <xf numFmtId="1" fontId="23" fillId="32" borderId="7" xfId="0" applyNumberFormat="1" applyFont="1" applyFill="1" applyBorder="1" applyAlignment="1">
      <alignment horizontal="center" vertical="center"/>
    </xf>
    <xf numFmtId="1" fontId="13" fillId="28" borderId="1" xfId="0" applyNumberFormat="1" applyFont="1" applyFill="1" applyBorder="1" applyAlignment="1">
      <alignment horizontal="center" vertical="center"/>
    </xf>
    <xf numFmtId="1" fontId="13" fillId="5" borderId="46" xfId="0" applyNumberFormat="1" applyFont="1" applyFill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1" fontId="13" fillId="3" borderId="16" xfId="0" applyNumberFormat="1" applyFont="1" applyFill="1" applyBorder="1" applyAlignment="1">
      <alignment horizontal="center" vertical="center"/>
    </xf>
    <xf numFmtId="1" fontId="13" fillId="3" borderId="0" xfId="0" applyNumberFormat="1" applyFont="1" applyFill="1" applyAlignment="1">
      <alignment horizontal="center" vertical="center"/>
    </xf>
    <xf numFmtId="1" fontId="13" fillId="3" borderId="17" xfId="0" applyNumberFormat="1" applyFont="1" applyFill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165" fontId="13" fillId="6" borderId="1" xfId="0" applyNumberFormat="1" applyFont="1" applyFill="1" applyBorder="1" applyAlignment="1">
      <alignment horizontal="center" vertical="center"/>
    </xf>
    <xf numFmtId="1" fontId="13" fillId="6" borderId="17" xfId="0" applyNumberFormat="1" applyFont="1" applyFill="1" applyBorder="1" applyAlignment="1">
      <alignment horizontal="center" vertical="center"/>
    </xf>
    <xf numFmtId="20" fontId="11" fillId="0" borderId="3" xfId="0" applyNumberFormat="1" applyFont="1" applyBorder="1" applyAlignment="1" applyProtection="1">
      <alignment horizontal="center" vertical="center" wrapText="1"/>
      <protection locked="0"/>
    </xf>
    <xf numFmtId="14" fontId="6" fillId="0" borderId="4" xfId="0" applyNumberFormat="1" applyFont="1" applyBorder="1" applyAlignment="1" applyProtection="1">
      <alignment horizontal="left" vertical="center"/>
      <protection locked="0"/>
    </xf>
    <xf numFmtId="0" fontId="13" fillId="15" borderId="8" xfId="0" applyFont="1" applyFill="1" applyBorder="1" applyAlignment="1">
      <alignment horizontal="left" vertical="center"/>
    </xf>
    <xf numFmtId="0" fontId="13" fillId="29" borderId="1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66" fillId="3" borderId="0" xfId="0" applyFont="1" applyFill="1" applyAlignment="1">
      <alignment horizontal="left"/>
    </xf>
    <xf numFmtId="0" fontId="64" fillId="3" borderId="1" xfId="0" applyFont="1" applyFill="1" applyBorder="1" applyAlignment="1">
      <alignment horizontal="left" vertical="center"/>
    </xf>
    <xf numFmtId="0" fontId="65" fillId="3" borderId="1" xfId="0" applyFont="1" applyFill="1" applyBorder="1" applyAlignment="1">
      <alignment horizontal="left" vertical="center"/>
    </xf>
    <xf numFmtId="0" fontId="65" fillId="3" borderId="1" xfId="0" applyFont="1" applyFill="1" applyBorder="1" applyAlignment="1">
      <alignment horizontal="left" vertical="top" wrapText="1"/>
    </xf>
    <xf numFmtId="0" fontId="67" fillId="3" borderId="1" xfId="0" applyFont="1" applyFill="1" applyBorder="1" applyAlignment="1">
      <alignment horizontal="center"/>
    </xf>
    <xf numFmtId="0" fontId="41" fillId="0" borderId="1" xfId="0" applyFont="1" applyBorder="1" applyAlignment="1">
      <alignment horizontal="center"/>
    </xf>
    <xf numFmtId="2" fontId="64" fillId="3" borderId="1" xfId="0" applyNumberFormat="1" applyFont="1" applyFill="1" applyBorder="1" applyAlignment="1">
      <alignment horizontal="center" vertical="center"/>
    </xf>
    <xf numFmtId="1" fontId="64" fillId="3" borderId="1" xfId="0" applyNumberFormat="1" applyFont="1" applyFill="1" applyBorder="1" applyAlignment="1">
      <alignment horizontal="center" vertical="center"/>
    </xf>
    <xf numFmtId="1" fontId="64" fillId="0" borderId="1" xfId="0" applyNumberFormat="1" applyFont="1" applyBorder="1" applyAlignment="1">
      <alignment horizontal="center"/>
    </xf>
    <xf numFmtId="165" fontId="13" fillId="13" borderId="8" xfId="0" applyNumberFormat="1" applyFont="1" applyFill="1" applyBorder="1" applyAlignment="1">
      <alignment vertical="center"/>
    </xf>
    <xf numFmtId="0" fontId="46" fillId="3" borderId="7" xfId="0" applyFont="1" applyFill="1" applyBorder="1" applyAlignment="1">
      <alignment horizontal="center" vertical="top" wrapText="1"/>
    </xf>
    <xf numFmtId="165" fontId="47" fillId="3" borderId="1" xfId="0" applyNumberFormat="1" applyFont="1" applyFill="1" applyBorder="1" applyAlignment="1">
      <alignment horizontal="center" vertical="center"/>
    </xf>
    <xf numFmtId="0" fontId="69" fillId="0" borderId="49" xfId="0" applyFont="1" applyBorder="1" applyAlignment="1">
      <alignment horizontal="center"/>
    </xf>
    <xf numFmtId="0" fontId="70" fillId="0" borderId="7" xfId="0" applyFont="1" applyBorder="1" applyAlignment="1">
      <alignment horizontal="left"/>
    </xf>
    <xf numFmtId="0" fontId="70" fillId="0" borderId="66" xfId="0" applyFont="1" applyBorder="1" applyAlignment="1">
      <alignment horizontal="left"/>
    </xf>
    <xf numFmtId="0" fontId="69" fillId="0" borderId="11" xfId="0" applyFont="1" applyBorder="1" applyAlignment="1">
      <alignment horizontal="center"/>
    </xf>
    <xf numFmtId="0" fontId="70" fillId="0" borderId="1" xfId="0" applyFont="1" applyBorder="1" applyAlignment="1">
      <alignment horizontal="left"/>
    </xf>
    <xf numFmtId="0" fontId="71" fillId="0" borderId="1" xfId="0" applyFont="1" applyBorder="1" applyAlignment="1">
      <alignment horizontal="left"/>
    </xf>
    <xf numFmtId="0" fontId="71" fillId="0" borderId="50" xfId="0" applyFont="1" applyBorder="1" applyAlignment="1">
      <alignment horizontal="left"/>
    </xf>
    <xf numFmtId="0" fontId="70" fillId="0" borderId="50" xfId="0" applyFont="1" applyBorder="1" applyAlignment="1">
      <alignment horizontal="left"/>
    </xf>
    <xf numFmtId="0" fontId="69" fillId="0" borderId="62" xfId="0" applyFont="1" applyBorder="1" applyAlignment="1">
      <alignment horizontal="center"/>
    </xf>
    <xf numFmtId="0" fontId="70" fillId="0" borderId="6" xfId="0" applyFont="1" applyBorder="1" applyAlignment="1">
      <alignment horizontal="left"/>
    </xf>
    <xf numFmtId="0" fontId="71" fillId="0" borderId="63" xfId="0" applyFont="1" applyBorder="1" applyAlignment="1">
      <alignment horizontal="left"/>
    </xf>
    <xf numFmtId="16" fontId="70" fillId="0" borderId="7" xfId="0" applyNumberFormat="1" applyFont="1" applyBorder="1" applyAlignment="1">
      <alignment horizontal="left"/>
    </xf>
    <xf numFmtId="16" fontId="70" fillId="0" borderId="1" xfId="0" applyNumberFormat="1" applyFont="1" applyBorder="1" applyAlignment="1">
      <alignment horizontal="left"/>
    </xf>
    <xf numFmtId="16" fontId="71" fillId="0" borderId="1" xfId="0" applyNumberFormat="1" applyFont="1" applyBorder="1" applyAlignment="1">
      <alignment horizontal="left"/>
    </xf>
    <xf numFmtId="0" fontId="70" fillId="0" borderId="63" xfId="0" applyFont="1" applyBorder="1" applyAlignment="1">
      <alignment horizontal="left"/>
    </xf>
    <xf numFmtId="0" fontId="17" fillId="3" borderId="0" xfId="0" applyFont="1" applyFill="1"/>
    <xf numFmtId="0" fontId="18" fillId="0" borderId="6" xfId="0" applyFont="1" applyBorder="1" applyAlignment="1" applyProtection="1">
      <alignment horizontal="left" vertical="center" wrapText="1"/>
      <protection locked="0"/>
    </xf>
    <xf numFmtId="0" fontId="18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71" fillId="0" borderId="6" xfId="0" applyFont="1" applyBorder="1" applyAlignment="1">
      <alignment horizontal="left"/>
    </xf>
    <xf numFmtId="0" fontId="73" fillId="0" borderId="7" xfId="0" applyFont="1" applyBorder="1" applyAlignment="1">
      <alignment horizontal="left"/>
    </xf>
    <xf numFmtId="0" fontId="73" fillId="0" borderId="1" xfId="0" applyFont="1" applyBorder="1" applyAlignment="1">
      <alignment horizontal="left"/>
    </xf>
    <xf numFmtId="0" fontId="15" fillId="5" borderId="1" xfId="0" applyFont="1" applyFill="1" applyBorder="1" applyAlignment="1">
      <alignment vertical="center"/>
    </xf>
    <xf numFmtId="0" fontId="15" fillId="0" borderId="1" xfId="0" applyFont="1" applyBorder="1"/>
    <xf numFmtId="1" fontId="4" fillId="0" borderId="1" xfId="0" applyNumberFormat="1" applyFont="1" applyBorder="1" applyAlignment="1">
      <alignment horizontal="center"/>
    </xf>
    <xf numFmtId="165" fontId="4" fillId="0" borderId="1" xfId="0" quotePrefix="1" applyNumberFormat="1" applyFont="1" applyBorder="1" applyAlignment="1">
      <alignment horizontal="center"/>
    </xf>
    <xf numFmtId="165" fontId="4" fillId="0" borderId="3" xfId="0" quotePrefix="1" applyNumberFormat="1" applyFont="1" applyBorder="1" applyAlignment="1">
      <alignment horizontal="left"/>
    </xf>
    <xf numFmtId="165" fontId="4" fillId="3" borderId="1" xfId="0" applyNumberFormat="1" applyFont="1" applyFill="1" applyBorder="1" applyAlignment="1">
      <alignment horizontal="center" vertical="center"/>
    </xf>
    <xf numFmtId="0" fontId="4" fillId="0" borderId="3" xfId="0" applyFont="1" applyBorder="1"/>
    <xf numFmtId="3" fontId="4" fillId="0" borderId="1" xfId="0" applyNumberFormat="1" applyFont="1" applyBorder="1" applyAlignment="1">
      <alignment horizontal="left"/>
    </xf>
    <xf numFmtId="3" fontId="4" fillId="0" borderId="3" xfId="0" applyNumberFormat="1" applyFont="1" applyBorder="1" applyAlignment="1">
      <alignment horizontal="left"/>
    </xf>
    <xf numFmtId="165" fontId="20" fillId="0" borderId="1" xfId="0" quotePrefix="1" applyNumberFormat="1" applyFont="1" applyBorder="1" applyAlignment="1" applyProtection="1">
      <alignment horizontal="center" vertical="center" wrapText="1"/>
      <protection locked="0"/>
    </xf>
    <xf numFmtId="0" fontId="13" fillId="0" borderId="2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8" fillId="0" borderId="6" xfId="0" applyFont="1" applyBorder="1" applyAlignment="1" applyProtection="1">
      <alignment horizontal="center" vertical="center" wrapText="1"/>
      <protection locked="0"/>
    </xf>
    <xf numFmtId="0" fontId="6" fillId="3" borderId="1" xfId="0" applyFont="1" applyFill="1" applyBorder="1" applyAlignment="1">
      <alignment horizontal="center" vertical="top" wrapText="1"/>
    </xf>
    <xf numFmtId="165" fontId="9" fillId="3" borderId="1" xfId="0" applyNumberFormat="1" applyFont="1" applyFill="1" applyBorder="1" applyAlignment="1">
      <alignment horizontal="center" vertical="top" wrapText="1"/>
    </xf>
    <xf numFmtId="0" fontId="13" fillId="0" borderId="22" xfId="0" applyFont="1" applyBorder="1" applyAlignment="1">
      <alignment vertical="center"/>
    </xf>
    <xf numFmtId="1" fontId="13" fillId="6" borderId="22" xfId="0" applyNumberFormat="1" applyFont="1" applyFill="1" applyBorder="1" applyAlignment="1">
      <alignment horizontal="center" vertical="center"/>
    </xf>
    <xf numFmtId="20" fontId="13" fillId="6" borderId="6" xfId="0" applyNumberFormat="1" applyFont="1" applyFill="1" applyBorder="1" applyAlignment="1">
      <alignment horizontal="center" vertical="center"/>
    </xf>
    <xf numFmtId="166" fontId="13" fillId="0" borderId="22" xfId="0" applyNumberFormat="1" applyFont="1" applyBorder="1" applyAlignment="1">
      <alignment horizontal="center" vertical="center"/>
    </xf>
    <xf numFmtId="166" fontId="13" fillId="0" borderId="9" xfId="0" applyNumberFormat="1" applyFont="1" applyBorder="1" applyAlignment="1">
      <alignment horizontal="center" vertical="center"/>
    </xf>
    <xf numFmtId="164" fontId="13" fillId="0" borderId="22" xfId="0" applyNumberFormat="1" applyFont="1" applyBorder="1" applyAlignment="1">
      <alignment horizontal="center" vertical="center"/>
    </xf>
    <xf numFmtId="168" fontId="13" fillId="0" borderId="9" xfId="0" applyNumberFormat="1" applyFont="1" applyBorder="1" applyAlignment="1">
      <alignment horizontal="center" vertical="center"/>
    </xf>
    <xf numFmtId="0" fontId="42" fillId="0" borderId="16" xfId="0" applyFont="1" applyBorder="1" applyAlignment="1">
      <alignment vertical="center"/>
    </xf>
    <xf numFmtId="0" fontId="42" fillId="0" borderId="0" xfId="0" applyFont="1" applyAlignment="1">
      <alignment vertical="center"/>
    </xf>
    <xf numFmtId="0" fontId="42" fillId="0" borderId="21" xfId="0" applyFont="1" applyBorder="1" applyAlignment="1">
      <alignment vertical="center"/>
    </xf>
    <xf numFmtId="0" fontId="42" fillId="0" borderId="2" xfId="0" applyFont="1" applyBorder="1" applyAlignment="1">
      <alignment vertical="center"/>
    </xf>
    <xf numFmtId="0" fontId="21" fillId="31" borderId="5" xfId="0" applyFont="1" applyFill="1" applyBorder="1" applyAlignment="1">
      <alignment horizontal="center"/>
    </xf>
    <xf numFmtId="165" fontId="21" fillId="3" borderId="1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center" vertical="top" wrapText="1"/>
    </xf>
    <xf numFmtId="165" fontId="20" fillId="3" borderId="1" xfId="0" applyNumberFormat="1" applyFont="1" applyFill="1" applyBorder="1"/>
    <xf numFmtId="0" fontId="4" fillId="0" borderId="0" xfId="0" applyFont="1" applyAlignment="1" applyProtection="1">
      <alignment horizontal="left"/>
      <protection locked="0"/>
    </xf>
    <xf numFmtId="165" fontId="20" fillId="33" borderId="1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10" fillId="20" borderId="23" xfId="0" applyFont="1" applyFill="1" applyBorder="1" applyAlignment="1">
      <alignment horizontal="center"/>
    </xf>
    <xf numFmtId="0" fontId="10" fillId="4" borderId="23" xfId="0" applyFont="1" applyFill="1" applyBorder="1" applyAlignment="1">
      <alignment horizontal="center"/>
    </xf>
    <xf numFmtId="0" fontId="10" fillId="21" borderId="23" xfId="0" applyFont="1" applyFill="1" applyBorder="1" applyAlignment="1">
      <alignment horizontal="center"/>
    </xf>
    <xf numFmtId="0" fontId="10" fillId="18" borderId="0" xfId="0" applyFont="1" applyFill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18" fillId="0" borderId="3" xfId="0" applyFont="1" applyBorder="1" applyAlignment="1">
      <alignment horizontal="left"/>
    </xf>
    <xf numFmtId="0" fontId="18" fillId="0" borderId="8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1" fillId="18" borderId="1" xfId="0" applyFont="1" applyFill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49" fillId="3" borderId="3" xfId="0" applyFont="1" applyFill="1" applyBorder="1" applyAlignment="1">
      <alignment vertical="center"/>
    </xf>
    <xf numFmtId="0" fontId="49" fillId="3" borderId="8" xfId="0" applyFont="1" applyFill="1" applyBorder="1" applyAlignment="1">
      <alignment vertical="center"/>
    </xf>
    <xf numFmtId="0" fontId="49" fillId="3" borderId="4" xfId="0" applyFont="1" applyFill="1" applyBorder="1" applyAlignment="1">
      <alignment vertical="center"/>
    </xf>
    <xf numFmtId="0" fontId="46" fillId="13" borderId="10" xfId="0" applyFont="1" applyFill="1" applyBorder="1" applyAlignment="1">
      <alignment horizontal="left" vertical="center"/>
    </xf>
    <xf numFmtId="0" fontId="46" fillId="13" borderId="47" xfId="0" applyFont="1" applyFill="1" applyBorder="1" applyAlignment="1">
      <alignment horizontal="left" vertical="center"/>
    </xf>
    <xf numFmtId="0" fontId="46" fillId="13" borderId="48" xfId="0" applyFont="1" applyFill="1" applyBorder="1" applyAlignment="1">
      <alignment horizontal="left" vertical="center"/>
    </xf>
    <xf numFmtId="0" fontId="46" fillId="13" borderId="1" xfId="0" applyFont="1" applyFill="1" applyBorder="1" applyAlignment="1">
      <alignment horizontal="left" vertical="center"/>
    </xf>
    <xf numFmtId="0" fontId="46" fillId="13" borderId="50" xfId="0" applyFont="1" applyFill="1" applyBorder="1" applyAlignment="1">
      <alignment horizontal="left" vertical="center"/>
    </xf>
    <xf numFmtId="0" fontId="46" fillId="3" borderId="1" xfId="0" applyFont="1" applyFill="1" applyBorder="1" applyAlignment="1">
      <alignment horizontal="left" vertical="top" wrapText="1"/>
    </xf>
    <xf numFmtId="0" fontId="46" fillId="3" borderId="50" xfId="0" applyFont="1" applyFill="1" applyBorder="1" applyAlignment="1">
      <alignment horizontal="left" vertical="top" wrapText="1"/>
    </xf>
    <xf numFmtId="0" fontId="49" fillId="3" borderId="14" xfId="0" applyFont="1" applyFill="1" applyBorder="1" applyAlignment="1">
      <alignment vertical="center"/>
    </xf>
    <xf numFmtId="0" fontId="49" fillId="3" borderId="53" xfId="0" applyFont="1" applyFill="1" applyBorder="1" applyAlignment="1">
      <alignment vertical="center"/>
    </xf>
    <xf numFmtId="0" fontId="49" fillId="3" borderId="54" xfId="0" applyFont="1" applyFill="1" applyBorder="1" applyAlignment="1">
      <alignment vertical="center"/>
    </xf>
    <xf numFmtId="0" fontId="46" fillId="3" borderId="7" xfId="0" applyFont="1" applyFill="1" applyBorder="1" applyAlignment="1">
      <alignment horizontal="left" vertical="top" wrapText="1"/>
    </xf>
    <xf numFmtId="0" fontId="48" fillId="13" borderId="11" xfId="0" applyFont="1" applyFill="1" applyBorder="1" applyAlignment="1">
      <alignment horizontal="center" vertical="center"/>
    </xf>
    <xf numFmtId="0" fontId="48" fillId="13" borderId="1" xfId="0" applyFont="1" applyFill="1" applyBorder="1" applyAlignment="1">
      <alignment horizontal="center" vertical="center"/>
    </xf>
    <xf numFmtId="0" fontId="46" fillId="13" borderId="1" xfId="0" applyFont="1" applyFill="1" applyBorder="1" applyAlignment="1">
      <alignment horizontal="center" vertical="center"/>
    </xf>
    <xf numFmtId="0" fontId="51" fillId="0" borderId="3" xfId="0" applyFont="1" applyBorder="1" applyAlignment="1">
      <alignment horizontal="center"/>
    </xf>
    <xf numFmtId="0" fontId="51" fillId="0" borderId="8" xfId="0" applyFont="1" applyBorder="1" applyAlignment="1">
      <alignment horizontal="center"/>
    </xf>
    <xf numFmtId="0" fontId="51" fillId="0" borderId="4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69" fontId="52" fillId="0" borderId="1" xfId="0" applyNumberFormat="1" applyFont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169" fontId="53" fillId="0" borderId="1" xfId="0" applyNumberFormat="1" applyFont="1" applyBorder="1" applyAlignment="1">
      <alignment horizontal="center"/>
    </xf>
    <xf numFmtId="169" fontId="34" fillId="2" borderId="1" xfId="0" applyNumberFormat="1" applyFont="1" applyFill="1" applyBorder="1" applyAlignment="1">
      <alignment horizontal="center"/>
    </xf>
    <xf numFmtId="169" fontId="9" fillId="2" borderId="1" xfId="0" applyNumberFormat="1" applyFont="1" applyFill="1" applyBorder="1" applyAlignment="1">
      <alignment horizontal="left"/>
    </xf>
    <xf numFmtId="169" fontId="22" fillId="3" borderId="1" xfId="0" applyNumberFormat="1" applyFont="1" applyFill="1" applyBorder="1" applyAlignment="1">
      <alignment horizontal="left"/>
    </xf>
    <xf numFmtId="169" fontId="9" fillId="2" borderId="1" xfId="0" applyNumberFormat="1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13" fillId="27" borderId="3" xfId="0" applyFont="1" applyFill="1" applyBorder="1" applyAlignment="1">
      <alignment horizontal="left" vertical="center"/>
    </xf>
    <xf numFmtId="0" fontId="13" fillId="27" borderId="8" xfId="0" applyFont="1" applyFill="1" applyBorder="1" applyAlignment="1">
      <alignment horizontal="left" vertical="center"/>
    </xf>
    <xf numFmtId="0" fontId="13" fillId="27" borderId="4" xfId="0" applyFont="1" applyFill="1" applyBorder="1" applyAlignment="1">
      <alignment horizontal="left" vertical="center"/>
    </xf>
    <xf numFmtId="3" fontId="28" fillId="0" borderId="8" xfId="0" applyNumberFormat="1" applyFont="1" applyBorder="1" applyAlignment="1">
      <alignment horizontal="left" vertical="center"/>
    </xf>
    <xf numFmtId="0" fontId="28" fillId="0" borderId="8" xfId="0" applyFont="1" applyBorder="1" applyAlignment="1">
      <alignment horizontal="left" vertical="center"/>
    </xf>
    <xf numFmtId="0" fontId="28" fillId="0" borderId="4" xfId="0" applyFont="1" applyBorder="1" applyAlignment="1">
      <alignment horizontal="left" vertical="center"/>
    </xf>
    <xf numFmtId="0" fontId="13" fillId="15" borderId="3" xfId="0" applyFont="1" applyFill="1" applyBorder="1" applyAlignment="1">
      <alignment horizontal="left" vertical="center"/>
    </xf>
    <xf numFmtId="0" fontId="13" fillId="15" borderId="8" xfId="0" applyFont="1" applyFill="1" applyBorder="1" applyAlignment="1">
      <alignment horizontal="left" vertical="center"/>
    </xf>
    <xf numFmtId="0" fontId="13" fillId="15" borderId="4" xfId="0" applyFont="1" applyFill="1" applyBorder="1" applyAlignment="1">
      <alignment horizontal="left" vertical="center"/>
    </xf>
    <xf numFmtId="3" fontId="13" fillId="3" borderId="3" xfId="0" applyNumberFormat="1" applyFont="1" applyFill="1" applyBorder="1" applyAlignment="1">
      <alignment horizontal="left" vertical="center" wrapText="1"/>
    </xf>
    <xf numFmtId="3" fontId="13" fillId="3" borderId="8" xfId="0" applyNumberFormat="1" applyFont="1" applyFill="1" applyBorder="1" applyAlignment="1">
      <alignment horizontal="left" vertical="center" wrapText="1"/>
    </xf>
    <xf numFmtId="3" fontId="13" fillId="3" borderId="4" xfId="0" applyNumberFormat="1" applyFont="1" applyFill="1" applyBorder="1" applyAlignment="1">
      <alignment horizontal="left" vertical="center" wrapText="1"/>
    </xf>
    <xf numFmtId="0" fontId="13" fillId="29" borderId="1" xfId="0" applyFont="1" applyFill="1" applyBorder="1" applyAlignment="1">
      <alignment horizontal="center" vertical="center"/>
    </xf>
    <xf numFmtId="0" fontId="13" fillId="29" borderId="1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 wrapText="1"/>
    </xf>
    <xf numFmtId="0" fontId="13" fillId="3" borderId="9" xfId="0" applyFont="1" applyFill="1" applyBorder="1" applyAlignment="1">
      <alignment horizontal="left" vertical="center" wrapText="1"/>
    </xf>
    <xf numFmtId="0" fontId="13" fillId="3" borderId="22" xfId="0" applyFont="1" applyFill="1" applyBorder="1" applyAlignment="1">
      <alignment horizontal="left" vertical="center" wrapText="1"/>
    </xf>
    <xf numFmtId="0" fontId="13" fillId="3" borderId="16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17" xfId="0" applyFont="1" applyFill="1" applyBorder="1" applyAlignment="1">
      <alignment horizontal="left" vertical="center" wrapText="1"/>
    </xf>
    <xf numFmtId="0" fontId="13" fillId="3" borderId="21" xfId="0" applyFont="1" applyFill="1" applyBorder="1" applyAlignment="1">
      <alignment horizontal="left"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3" xfId="0" applyFont="1" applyFill="1" applyBorder="1" applyAlignment="1">
      <alignment horizontal="left" vertical="center"/>
    </xf>
    <xf numFmtId="0" fontId="13" fillId="3" borderId="8" xfId="0" applyFont="1" applyFill="1" applyBorder="1" applyAlignment="1">
      <alignment horizontal="left" vertical="center"/>
    </xf>
    <xf numFmtId="0" fontId="13" fillId="3" borderId="4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3" fillId="13" borderId="3" xfId="0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horizontal="center" vertical="center"/>
    </xf>
    <xf numFmtId="0" fontId="13" fillId="13" borderId="4" xfId="0" applyFont="1" applyFill="1" applyBorder="1" applyAlignment="1">
      <alignment horizontal="center" vertical="center"/>
    </xf>
    <xf numFmtId="0" fontId="42" fillId="0" borderId="1" xfId="0" applyFont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3" fillId="3" borderId="22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13" fillId="3" borderId="2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29" fillId="3" borderId="15" xfId="0" applyFont="1" applyFill="1" applyBorder="1" applyAlignment="1">
      <alignment horizontal="left" vertical="center" wrapText="1"/>
    </xf>
    <xf numFmtId="0" fontId="29" fillId="3" borderId="9" xfId="0" applyFont="1" applyFill="1" applyBorder="1" applyAlignment="1">
      <alignment horizontal="left" vertical="center" wrapText="1"/>
    </xf>
    <xf numFmtId="0" fontId="29" fillId="3" borderId="22" xfId="0" applyFont="1" applyFill="1" applyBorder="1" applyAlignment="1">
      <alignment horizontal="left" vertical="center" wrapText="1"/>
    </xf>
    <xf numFmtId="0" fontId="29" fillId="3" borderId="21" xfId="0" applyFont="1" applyFill="1" applyBorder="1" applyAlignment="1">
      <alignment horizontal="left" vertical="center" wrapText="1"/>
    </xf>
    <xf numFmtId="0" fontId="29" fillId="3" borderId="2" xfId="0" applyFont="1" applyFill="1" applyBorder="1" applyAlignment="1">
      <alignment horizontal="left" vertical="center" wrapText="1"/>
    </xf>
    <xf numFmtId="0" fontId="29" fillId="3" borderId="20" xfId="0" applyFont="1" applyFill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1" fontId="13" fillId="0" borderId="3" xfId="0" applyNumberFormat="1" applyFont="1" applyBorder="1" applyAlignment="1">
      <alignment horizontal="left" vertical="center"/>
    </xf>
    <xf numFmtId="1" fontId="13" fillId="0" borderId="8" xfId="0" applyNumberFormat="1" applyFont="1" applyBorder="1" applyAlignment="1">
      <alignment horizontal="left" vertical="center"/>
    </xf>
    <xf numFmtId="1" fontId="13" fillId="0" borderId="4" xfId="0" applyNumberFormat="1" applyFont="1" applyBorder="1" applyAlignment="1">
      <alignment horizontal="left" vertical="center"/>
    </xf>
    <xf numFmtId="2" fontId="13" fillId="0" borderId="3" xfId="0" applyNumberFormat="1" applyFont="1" applyBorder="1" applyAlignment="1">
      <alignment horizontal="left" vertical="center"/>
    </xf>
    <xf numFmtId="2" fontId="13" fillId="0" borderId="8" xfId="0" applyNumberFormat="1" applyFont="1" applyBorder="1" applyAlignment="1">
      <alignment horizontal="left" vertical="center"/>
    </xf>
    <xf numFmtId="2" fontId="13" fillId="0" borderId="4" xfId="0" applyNumberFormat="1" applyFont="1" applyBorder="1" applyAlignment="1">
      <alignment horizontal="left" vertical="center"/>
    </xf>
    <xf numFmtId="0" fontId="13" fillId="8" borderId="3" xfId="0" applyFont="1" applyFill="1" applyBorder="1" applyAlignment="1">
      <alignment horizontal="left" vertical="center"/>
    </xf>
    <xf numFmtId="0" fontId="13" fillId="8" borderId="8" xfId="0" applyFont="1" applyFill="1" applyBorder="1" applyAlignment="1">
      <alignment horizontal="left" vertical="center"/>
    </xf>
    <xf numFmtId="0" fontId="13" fillId="8" borderId="4" xfId="0" applyFont="1" applyFill="1" applyBorder="1" applyAlignment="1">
      <alignment horizontal="left" vertical="center"/>
    </xf>
    <xf numFmtId="3" fontId="28" fillId="0" borderId="3" xfId="0" applyNumberFormat="1" applyFont="1" applyBorder="1" applyAlignment="1">
      <alignment horizontal="left" vertical="center" wrapText="1"/>
    </xf>
    <xf numFmtId="3" fontId="28" fillId="0" borderId="8" xfId="0" applyNumberFormat="1" applyFont="1" applyBorder="1" applyAlignment="1">
      <alignment horizontal="left" vertical="center" wrapText="1"/>
    </xf>
    <xf numFmtId="3" fontId="28" fillId="0" borderId="4" xfId="0" applyNumberFormat="1" applyFont="1" applyBorder="1" applyAlignment="1">
      <alignment horizontal="left" vertical="center" wrapText="1"/>
    </xf>
    <xf numFmtId="0" fontId="13" fillId="27" borderId="1" xfId="0" applyFont="1" applyFill="1" applyBorder="1" applyAlignment="1">
      <alignment horizontal="left" vertical="center"/>
    </xf>
    <xf numFmtId="0" fontId="13" fillId="0" borderId="3" xfId="0" applyFont="1" applyBorder="1" applyAlignment="1">
      <alignment horizontal="left"/>
    </xf>
    <xf numFmtId="0" fontId="13" fillId="0" borderId="8" xfId="0" applyFont="1" applyBorder="1" applyAlignment="1">
      <alignment horizontal="left"/>
    </xf>
    <xf numFmtId="0" fontId="13" fillId="0" borderId="4" xfId="0" applyFont="1" applyBorder="1" applyAlignment="1">
      <alignment horizontal="left"/>
    </xf>
    <xf numFmtId="0" fontId="13" fillId="27" borderId="1" xfId="0" applyFont="1" applyFill="1" applyBorder="1" applyAlignment="1">
      <alignment horizontal="left" vertical="center" wrapText="1"/>
    </xf>
    <xf numFmtId="49" fontId="13" fillId="0" borderId="3" xfId="0" applyNumberFormat="1" applyFont="1" applyBorder="1" applyAlignment="1">
      <alignment horizontal="left" vertical="center"/>
    </xf>
    <xf numFmtId="49" fontId="13" fillId="0" borderId="8" xfId="0" applyNumberFormat="1" applyFont="1" applyBorder="1" applyAlignment="1">
      <alignment horizontal="left" vertical="center"/>
    </xf>
    <xf numFmtId="49" fontId="13" fillId="0" borderId="4" xfId="0" applyNumberFormat="1" applyFont="1" applyBorder="1" applyAlignment="1">
      <alignment horizontal="left" vertical="center"/>
    </xf>
    <xf numFmtId="2" fontId="13" fillId="0" borderId="15" xfId="0" applyNumberFormat="1" applyFont="1" applyBorder="1" applyAlignment="1">
      <alignment horizontal="left" vertical="center"/>
    </xf>
    <xf numFmtId="2" fontId="13" fillId="0" borderId="9" xfId="0" applyNumberFormat="1" applyFont="1" applyBorder="1" applyAlignment="1">
      <alignment horizontal="left" vertical="center"/>
    </xf>
    <xf numFmtId="2" fontId="13" fillId="0" borderId="22" xfId="0" applyNumberFormat="1" applyFont="1" applyBorder="1" applyAlignment="1">
      <alignment horizontal="left" vertical="center"/>
    </xf>
    <xf numFmtId="2" fontId="13" fillId="0" borderId="1" xfId="0" applyNumberFormat="1" applyFont="1" applyBorder="1" applyAlignment="1">
      <alignment horizontal="left" vertical="center"/>
    </xf>
    <xf numFmtId="2" fontId="13" fillId="8" borderId="3" xfId="0" applyNumberFormat="1" applyFont="1" applyFill="1" applyBorder="1" applyAlignment="1">
      <alignment horizontal="left" vertical="center"/>
    </xf>
    <xf numFmtId="2" fontId="13" fillId="8" borderId="8" xfId="0" applyNumberFormat="1" applyFont="1" applyFill="1" applyBorder="1" applyAlignment="1">
      <alignment horizontal="left" vertical="center"/>
    </xf>
    <xf numFmtId="2" fontId="13" fillId="8" borderId="4" xfId="0" applyNumberFormat="1" applyFont="1" applyFill="1" applyBorder="1" applyAlignment="1">
      <alignment horizontal="left" vertical="center"/>
    </xf>
    <xf numFmtId="1" fontId="23" fillId="0" borderId="1" xfId="0" applyNumberFormat="1" applyFont="1" applyBorder="1" applyAlignment="1">
      <alignment horizontal="center" vertical="center"/>
    </xf>
    <xf numFmtId="0" fontId="13" fillId="8" borderId="3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2" fontId="13" fillId="8" borderId="3" xfId="0" applyNumberFormat="1" applyFont="1" applyFill="1" applyBorder="1" applyAlignment="1">
      <alignment horizontal="center" vertical="center"/>
    </xf>
    <xf numFmtId="2" fontId="13" fillId="8" borderId="8" xfId="0" applyNumberFormat="1" applyFont="1" applyFill="1" applyBorder="1" applyAlignment="1">
      <alignment horizontal="center" vertical="center"/>
    </xf>
    <xf numFmtId="2" fontId="13" fillId="8" borderId="4" xfId="0" applyNumberFormat="1" applyFont="1" applyFill="1" applyBorder="1" applyAlignment="1">
      <alignment horizontal="center" vertical="center"/>
    </xf>
    <xf numFmtId="2" fontId="13" fillId="8" borderId="1" xfId="0" applyNumberFormat="1" applyFont="1" applyFill="1" applyBorder="1" applyAlignment="1">
      <alignment horizontal="center" vertical="center"/>
    </xf>
    <xf numFmtId="0" fontId="13" fillId="0" borderId="15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22" xfId="0" applyFont="1" applyBorder="1" applyAlignment="1">
      <alignment horizontal="left" vertical="center"/>
    </xf>
    <xf numFmtId="0" fontId="13" fillId="8" borderId="3" xfId="0" applyFont="1" applyFill="1" applyBorder="1" applyAlignment="1">
      <alignment horizontal="center" vertical="center"/>
    </xf>
    <xf numFmtId="0" fontId="13" fillId="8" borderId="8" xfId="0" applyFont="1" applyFill="1" applyBorder="1" applyAlignment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3" fillId="13" borderId="8" xfId="0" applyFont="1" applyFill="1" applyBorder="1" applyAlignment="1">
      <alignment horizontal="left" vertical="center"/>
    </xf>
    <xf numFmtId="1" fontId="13" fillId="24" borderId="33" xfId="0" applyNumberFormat="1" applyFont="1" applyFill="1" applyBorder="1" applyAlignment="1">
      <alignment horizontal="center" vertical="center"/>
    </xf>
    <xf numFmtId="1" fontId="13" fillId="24" borderId="44" xfId="0" applyNumberFormat="1" applyFont="1" applyFill="1" applyBorder="1" applyAlignment="1">
      <alignment horizontal="center" vertical="center"/>
    </xf>
    <xf numFmtId="2" fontId="13" fillId="13" borderId="1" xfId="0" applyNumberFormat="1" applyFont="1" applyFill="1" applyBorder="1" applyAlignment="1">
      <alignment horizontal="left" vertical="center"/>
    </xf>
    <xf numFmtId="0" fontId="13" fillId="13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13" fillId="13" borderId="1" xfId="0" applyFont="1" applyFill="1" applyBorder="1" applyAlignment="1">
      <alignment horizontal="left"/>
    </xf>
    <xf numFmtId="0" fontId="13" fillId="0" borderId="15" xfId="0" applyFont="1" applyBorder="1" applyAlignment="1">
      <alignment horizontal="center" vertical="center" textRotation="255"/>
    </xf>
    <xf numFmtId="0" fontId="13" fillId="0" borderId="9" xfId="0" applyFont="1" applyBorder="1" applyAlignment="1">
      <alignment horizontal="center" vertical="center" textRotation="255"/>
    </xf>
    <xf numFmtId="0" fontId="13" fillId="0" borderId="16" xfId="0" applyFont="1" applyBorder="1" applyAlignment="1">
      <alignment horizontal="center" vertical="center" textRotation="255"/>
    </xf>
    <xf numFmtId="0" fontId="13" fillId="0" borderId="0" xfId="0" applyFont="1" applyAlignment="1">
      <alignment horizontal="center" vertical="center" textRotation="255"/>
    </xf>
    <xf numFmtId="0" fontId="13" fillId="0" borderId="28" xfId="0" applyFont="1" applyBorder="1" applyAlignment="1">
      <alignment horizontal="center" vertical="center"/>
    </xf>
    <xf numFmtId="0" fontId="13" fillId="0" borderId="29" xfId="0" applyFont="1" applyBorder="1" applyAlignment="1">
      <alignment horizontal="center" vertical="center"/>
    </xf>
    <xf numFmtId="1" fontId="13" fillId="24" borderId="28" xfId="0" applyNumberFormat="1" applyFont="1" applyFill="1" applyBorder="1" applyAlignment="1">
      <alignment horizontal="center" vertical="center"/>
    </xf>
    <xf numFmtId="1" fontId="13" fillId="24" borderId="29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22" xfId="0" applyFont="1" applyBorder="1" applyAlignment="1">
      <alignment horizontal="center" vertical="center" textRotation="255"/>
    </xf>
    <xf numFmtId="0" fontId="13" fillId="0" borderId="17" xfId="0" applyFont="1" applyBorder="1" applyAlignment="1">
      <alignment horizontal="center" vertical="center" textRotation="255"/>
    </xf>
    <xf numFmtId="0" fontId="13" fillId="0" borderId="32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61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3" fillId="13" borderId="27" xfId="0" applyFont="1" applyFill="1" applyBorder="1" applyAlignment="1">
      <alignment horizontal="left" vertical="center"/>
    </xf>
    <xf numFmtId="1" fontId="13" fillId="0" borderId="22" xfId="0" applyNumberFormat="1" applyFont="1" applyBorder="1" applyAlignment="1">
      <alignment horizontal="center" vertical="center"/>
    </xf>
    <xf numFmtId="1" fontId="13" fillId="0" borderId="17" xfId="0" applyNumberFormat="1" applyFont="1" applyBorder="1" applyAlignment="1">
      <alignment horizontal="center" vertical="center"/>
    </xf>
    <xf numFmtId="0" fontId="13" fillId="13" borderId="21" xfId="0" applyFont="1" applyFill="1" applyBorder="1" applyAlignment="1">
      <alignment horizontal="center" vertical="center"/>
    </xf>
    <xf numFmtId="0" fontId="13" fillId="13" borderId="2" xfId="0" applyFont="1" applyFill="1" applyBorder="1" applyAlignment="1">
      <alignment horizontal="center" vertical="center"/>
    </xf>
    <xf numFmtId="0" fontId="0" fillId="0" borderId="1" xfId="0" applyBorder="1"/>
    <xf numFmtId="0" fontId="13" fillId="0" borderId="38" xfId="0" applyFont="1" applyBorder="1" applyAlignment="1">
      <alignment horizontal="center" vertical="center"/>
    </xf>
    <xf numFmtId="1" fontId="13" fillId="24" borderId="43" xfId="0" applyNumberFormat="1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 textRotation="255"/>
    </xf>
    <xf numFmtId="0" fontId="13" fillId="0" borderId="2" xfId="0" applyFont="1" applyBorder="1" applyAlignment="1">
      <alignment horizontal="center" vertical="center" textRotation="255"/>
    </xf>
    <xf numFmtId="0" fontId="13" fillId="0" borderId="20" xfId="0" applyFont="1" applyBorder="1" applyAlignment="1">
      <alignment horizontal="center" vertical="center" textRotation="255"/>
    </xf>
    <xf numFmtId="0" fontId="13" fillId="13" borderId="3" xfId="0" applyFont="1" applyFill="1" applyBorder="1" applyAlignment="1">
      <alignment horizontal="left" vertical="center"/>
    </xf>
    <xf numFmtId="1" fontId="13" fillId="24" borderId="56" xfId="0" applyNumberFormat="1" applyFont="1" applyFill="1" applyBorder="1" applyAlignment="1">
      <alignment horizontal="center" vertical="center"/>
    </xf>
    <xf numFmtId="1" fontId="13" fillId="24" borderId="46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1" fontId="13" fillId="24" borderId="6" xfId="0" applyNumberFormat="1" applyFont="1" applyFill="1" applyBorder="1" applyAlignment="1">
      <alignment horizontal="center" vertical="center"/>
    </xf>
    <xf numFmtId="1" fontId="13" fillId="24" borderId="7" xfId="0" applyNumberFormat="1" applyFont="1" applyFill="1" applyBorder="1" applyAlignment="1">
      <alignment horizontal="center" vertical="center"/>
    </xf>
    <xf numFmtId="1" fontId="13" fillId="3" borderId="22" xfId="0" applyNumberFormat="1" applyFont="1" applyFill="1" applyBorder="1" applyAlignment="1">
      <alignment vertical="center"/>
    </xf>
    <xf numFmtId="1" fontId="13" fillId="3" borderId="17" xfId="0" applyNumberFormat="1" applyFont="1" applyFill="1" applyBorder="1" applyAlignment="1">
      <alignment vertical="center"/>
    </xf>
    <xf numFmtId="0" fontId="19" fillId="0" borderId="0" xfId="0" applyFont="1" applyAlignment="1">
      <alignment horizontal="center" vertical="center" textRotation="255" wrapText="1"/>
    </xf>
    <xf numFmtId="1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textRotation="255" wrapText="1"/>
    </xf>
    <xf numFmtId="1" fontId="13" fillId="5" borderId="45" xfId="0" applyNumberFormat="1" applyFont="1" applyFill="1" applyBorder="1" applyAlignment="1">
      <alignment horizontal="center" vertical="center"/>
    </xf>
    <xf numFmtId="1" fontId="13" fillId="5" borderId="46" xfId="0" applyNumberFormat="1" applyFont="1" applyFill="1" applyBorder="1" applyAlignment="1">
      <alignment horizontal="center" vertical="center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8" fillId="0" borderId="4" xfId="0" applyFont="1" applyBorder="1" applyAlignment="1" applyProtection="1">
      <alignment horizontal="center" vertical="center" wrapText="1"/>
      <protection locked="0"/>
    </xf>
    <xf numFmtId="0" fontId="8" fillId="0" borderId="15" xfId="0" applyFont="1" applyBorder="1" applyAlignment="1" applyProtection="1">
      <alignment horizontal="center" vertical="center" wrapText="1"/>
      <protection locked="0"/>
    </xf>
    <xf numFmtId="0" fontId="8" fillId="0" borderId="22" xfId="0" applyFont="1" applyBorder="1" applyAlignment="1" applyProtection="1">
      <alignment horizontal="center" vertical="center" wrapText="1"/>
      <protection locked="0"/>
    </xf>
    <xf numFmtId="0" fontId="6" fillId="5" borderId="1" xfId="0" applyFont="1" applyFill="1" applyBorder="1" applyAlignment="1">
      <alignment horizontal="center" vertical="top" wrapText="1"/>
    </xf>
    <xf numFmtId="0" fontId="25" fillId="5" borderId="1" xfId="0" applyFont="1" applyFill="1" applyBorder="1" applyAlignment="1">
      <alignment horizontal="center" vertical="top" wrapText="1"/>
    </xf>
    <xf numFmtId="165" fontId="12" fillId="5" borderId="1" xfId="0" applyNumberFormat="1" applyFont="1" applyFill="1" applyBorder="1" applyAlignment="1">
      <alignment horizontal="center" vertical="top" wrapText="1"/>
    </xf>
    <xf numFmtId="0" fontId="12" fillId="5" borderId="1" xfId="0" applyFont="1" applyFill="1" applyBorder="1" applyAlignment="1">
      <alignment horizontal="center" vertical="top" wrapText="1"/>
    </xf>
    <xf numFmtId="165" fontId="12" fillId="5" borderId="1" xfId="0" applyNumberFormat="1" applyFont="1" applyFill="1" applyBorder="1" applyAlignment="1" applyProtection="1">
      <alignment horizontal="center" vertical="top" wrapText="1"/>
      <protection locked="0"/>
    </xf>
    <xf numFmtId="0" fontId="12" fillId="5" borderId="1" xfId="0" applyFont="1" applyFill="1" applyBorder="1" applyAlignment="1" applyProtection="1">
      <alignment horizontal="center" vertical="top" wrapText="1"/>
      <protection locked="0"/>
    </xf>
    <xf numFmtId="0" fontId="10" fillId="2" borderId="22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4" fillId="0" borderId="0" xfId="0" applyFont="1" applyAlignment="1" applyProtection="1">
      <alignment horizontal="center"/>
      <protection locked="0"/>
    </xf>
    <xf numFmtId="165" fontId="12" fillId="5" borderId="15" xfId="0" applyNumberFormat="1" applyFont="1" applyFill="1" applyBorder="1" applyAlignment="1" applyProtection="1">
      <alignment horizontal="center" vertical="top" wrapText="1"/>
      <protection locked="0"/>
    </xf>
    <xf numFmtId="165" fontId="12" fillId="5" borderId="21" xfId="0" applyNumberFormat="1" applyFont="1" applyFill="1" applyBorder="1" applyAlignment="1" applyProtection="1">
      <alignment horizontal="center" vertical="top" wrapText="1"/>
      <protection locked="0"/>
    </xf>
    <xf numFmtId="165" fontId="12" fillId="5" borderId="6" xfId="0" applyNumberFormat="1" applyFont="1" applyFill="1" applyBorder="1" applyAlignment="1" applyProtection="1">
      <alignment horizontal="center" vertical="top" wrapText="1"/>
      <protection locked="0"/>
    </xf>
    <xf numFmtId="165" fontId="12" fillId="5" borderId="7" xfId="0" applyNumberFormat="1" applyFont="1" applyFill="1" applyBorder="1" applyAlignment="1" applyProtection="1">
      <alignment horizontal="center" vertical="top" wrapText="1"/>
      <protection locked="0"/>
    </xf>
    <xf numFmtId="20" fontId="8" fillId="0" borderId="3" xfId="0" applyNumberFormat="1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vertical="center"/>
    </xf>
    <xf numFmtId="0" fontId="10" fillId="10" borderId="1" xfId="0" applyFont="1" applyFill="1" applyBorder="1" applyAlignment="1">
      <alignment horizontal="center" vertical="top"/>
    </xf>
    <xf numFmtId="0" fontId="10" fillId="11" borderId="1" xfId="0" applyFont="1" applyFill="1" applyBorder="1" applyAlignment="1">
      <alignment horizontal="center" vertical="top"/>
    </xf>
    <xf numFmtId="167" fontId="9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10" fillId="0" borderId="8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10" fillId="3" borderId="0" xfId="0" applyFont="1" applyFill="1" applyAlignment="1">
      <alignment horizontal="right" vertical="center" wrapText="1"/>
    </xf>
    <xf numFmtId="0" fontId="6" fillId="12" borderId="6" xfId="0" applyFont="1" applyFill="1" applyBorder="1" applyAlignment="1">
      <alignment horizontal="left" vertical="top" wrapText="1"/>
    </xf>
    <xf numFmtId="0" fontId="6" fillId="12" borderId="5" xfId="0" applyFont="1" applyFill="1" applyBorder="1" applyAlignment="1">
      <alignment horizontal="left" vertical="top" wrapText="1"/>
    </xf>
    <xf numFmtId="0" fontId="6" fillId="12" borderId="7" xfId="0" applyFont="1" applyFill="1" applyBorder="1" applyAlignment="1">
      <alignment horizontal="left" vertical="top" wrapText="1"/>
    </xf>
    <xf numFmtId="0" fontId="6" fillId="8" borderId="1" xfId="0" applyFont="1" applyFill="1" applyBorder="1" applyAlignment="1">
      <alignment horizontal="left" vertical="top" wrapText="1"/>
    </xf>
    <xf numFmtId="0" fontId="10" fillId="9" borderId="0" xfId="0" applyFont="1" applyFill="1" applyAlignment="1">
      <alignment horizontal="center" vertical="top"/>
    </xf>
    <xf numFmtId="0" fontId="10" fillId="9" borderId="17" xfId="0" applyFont="1" applyFill="1" applyBorder="1" applyAlignment="1">
      <alignment horizontal="center" vertical="top"/>
    </xf>
    <xf numFmtId="165" fontId="9" fillId="5" borderId="7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8" fillId="0" borderId="0" xfId="0" applyFont="1" applyAlignment="1" applyProtection="1">
      <alignment horizontal="center" vertical="center"/>
      <protection locked="0"/>
    </xf>
    <xf numFmtId="0" fontId="6" fillId="8" borderId="6" xfId="0" applyFont="1" applyFill="1" applyBorder="1" applyAlignment="1">
      <alignment horizontal="center" vertical="top" wrapText="1"/>
    </xf>
    <xf numFmtId="0" fontId="6" fillId="8" borderId="5" xfId="0" applyFont="1" applyFill="1" applyBorder="1" applyAlignment="1">
      <alignment horizontal="center" vertical="top" wrapText="1"/>
    </xf>
    <xf numFmtId="0" fontId="6" fillId="8" borderId="7" xfId="0" applyFont="1" applyFill="1" applyBorder="1" applyAlignment="1">
      <alignment horizontal="center" vertical="top" wrapText="1"/>
    </xf>
    <xf numFmtId="0" fontId="6" fillId="12" borderId="6" xfId="0" applyFont="1" applyFill="1" applyBorder="1" applyAlignment="1">
      <alignment horizontal="center" vertical="top" wrapText="1"/>
    </xf>
    <xf numFmtId="0" fontId="6" fillId="12" borderId="5" xfId="0" applyFont="1" applyFill="1" applyBorder="1" applyAlignment="1">
      <alignment horizontal="center" vertical="top" wrapText="1"/>
    </xf>
    <xf numFmtId="0" fontId="6" fillId="12" borderId="7" xfId="0" applyFont="1" applyFill="1" applyBorder="1" applyAlignment="1">
      <alignment horizontal="center" vertical="top" wrapText="1"/>
    </xf>
    <xf numFmtId="165" fontId="9" fillId="5" borderId="7" xfId="0" applyNumberFormat="1" applyFont="1" applyFill="1" applyBorder="1" applyAlignment="1" applyProtection="1">
      <alignment horizontal="center" vertical="center" wrapText="1"/>
      <protection locked="0"/>
    </xf>
    <xf numFmtId="0" fontId="9" fillId="5" borderId="1" xfId="0" applyFont="1" applyFill="1" applyBorder="1" applyAlignment="1" applyProtection="1">
      <alignment horizontal="center" vertical="center" wrapText="1"/>
      <protection locked="0"/>
    </xf>
    <xf numFmtId="0" fontId="10" fillId="3" borderId="17" xfId="0" applyFont="1" applyFill="1" applyBorder="1" applyAlignment="1" applyProtection="1">
      <alignment horizontal="center" vertical="center" wrapText="1"/>
      <protection locked="0"/>
    </xf>
    <xf numFmtId="0" fontId="10" fillId="3" borderId="20" xfId="0" applyFont="1" applyFill="1" applyBorder="1" applyAlignment="1" applyProtection="1">
      <alignment horizontal="center" vertical="center" wrapText="1"/>
      <protection locked="0"/>
    </xf>
    <xf numFmtId="0" fontId="43" fillId="0" borderId="3" xfId="1" applyFont="1" applyBorder="1" applyAlignment="1" applyProtection="1">
      <alignment horizontal="center" vertical="center" wrapText="1"/>
      <protection locked="0"/>
    </xf>
    <xf numFmtId="0" fontId="57" fillId="0" borderId="4" xfId="1" applyFont="1" applyBorder="1" applyAlignment="1" applyProtection="1">
      <alignment horizontal="center" vertical="center" wrapText="1"/>
      <protection locked="0"/>
    </xf>
    <xf numFmtId="0" fontId="1" fillId="0" borderId="3" xfId="1" applyFont="1" applyBorder="1" applyAlignment="1" applyProtection="1">
      <alignment horizontal="center" vertical="center" wrapText="1"/>
      <protection locked="0"/>
    </xf>
    <xf numFmtId="0" fontId="1" fillId="0" borderId="4" xfId="1" applyFont="1" applyBorder="1" applyAlignment="1" applyProtection="1">
      <alignment horizontal="center" vertical="center" wrapText="1"/>
      <protection locked="0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" fillId="0" borderId="8" xfId="1" applyFont="1" applyBorder="1" applyAlignment="1" applyProtection="1">
      <alignment horizontal="center" vertical="center" wrapText="1"/>
      <protection locked="0"/>
    </xf>
    <xf numFmtId="0" fontId="1" fillId="0" borderId="9" xfId="1" applyFont="1" applyBorder="1" applyAlignment="1" applyProtection="1">
      <alignment horizontal="center" vertical="center" wrapText="1"/>
      <protection locked="0"/>
    </xf>
    <xf numFmtId="0" fontId="1" fillId="0" borderId="22" xfId="1" applyFont="1" applyBorder="1" applyAlignment="1" applyProtection="1">
      <alignment horizontal="center" vertical="center" wrapText="1"/>
      <protection locked="0"/>
    </xf>
    <xf numFmtId="0" fontId="10" fillId="27" borderId="2" xfId="0" applyFont="1" applyFill="1" applyBorder="1" applyAlignment="1">
      <alignment horizontal="center" vertical="center"/>
    </xf>
    <xf numFmtId="0" fontId="10" fillId="27" borderId="20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9" borderId="3" xfId="0" applyFont="1" applyFill="1" applyBorder="1" applyAlignment="1">
      <alignment horizontal="center" vertical="top"/>
    </xf>
    <xf numFmtId="0" fontId="10" fillId="9" borderId="4" xfId="0" applyFont="1" applyFill="1" applyBorder="1" applyAlignment="1">
      <alignment horizontal="center" vertical="top"/>
    </xf>
    <xf numFmtId="167" fontId="10" fillId="0" borderId="1" xfId="0" applyNumberFormat="1" applyFont="1" applyBorder="1" applyAlignment="1">
      <alignment horizontal="left" vertical="center"/>
    </xf>
    <xf numFmtId="0" fontId="9" fillId="3" borderId="0" xfId="0" applyFont="1" applyFill="1" applyAlignment="1">
      <alignment horizontal="right" vertical="center"/>
    </xf>
    <xf numFmtId="0" fontId="1" fillId="3" borderId="0" xfId="1" applyFont="1" applyFill="1" applyAlignment="1">
      <alignment horizontal="center" vertical="center" wrapText="1"/>
      <protection locked="0"/>
    </xf>
    <xf numFmtId="0" fontId="1" fillId="0" borderId="19" xfId="1" applyFont="1" applyBorder="1" applyAlignment="1" applyProtection="1">
      <alignment horizontal="center" vertical="center" wrapText="1"/>
    </xf>
    <xf numFmtId="0" fontId="1" fillId="0" borderId="40" xfId="1" applyFont="1" applyBorder="1" applyAlignment="1" applyProtection="1">
      <alignment horizontal="center" vertical="center" wrapText="1"/>
    </xf>
    <xf numFmtId="0" fontId="6" fillId="8" borderId="1" xfId="0" applyFont="1" applyFill="1" applyBorder="1" applyAlignment="1">
      <alignment horizontal="center" vertical="top" wrapText="1"/>
    </xf>
    <xf numFmtId="0" fontId="10" fillId="6" borderId="3" xfId="0" applyFont="1" applyFill="1" applyBorder="1" applyAlignment="1">
      <alignment horizontal="center"/>
    </xf>
    <xf numFmtId="0" fontId="10" fillId="6" borderId="4" xfId="0" applyFont="1" applyFill="1" applyBorder="1" applyAlignment="1">
      <alignment horizontal="center"/>
    </xf>
    <xf numFmtId="0" fontId="10" fillId="0" borderId="3" xfId="0" applyFont="1" applyBorder="1" applyAlignment="1" applyProtection="1">
      <alignment horizontal="center" vertical="center"/>
      <protection locked="0"/>
    </xf>
    <xf numFmtId="0" fontId="10" fillId="0" borderId="4" xfId="0" applyFont="1" applyBorder="1" applyAlignment="1" applyProtection="1">
      <alignment horizontal="center" vertical="center"/>
      <protection locked="0"/>
    </xf>
    <xf numFmtId="0" fontId="10" fillId="3" borderId="22" xfId="0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textRotation="90" wrapText="1"/>
    </xf>
    <xf numFmtId="0" fontId="12" fillId="0" borderId="5" xfId="0" applyFont="1" applyBorder="1" applyAlignment="1">
      <alignment horizontal="center" vertical="center" textRotation="90" wrapText="1"/>
    </xf>
    <xf numFmtId="0" fontId="12" fillId="0" borderId="7" xfId="0" applyFont="1" applyBorder="1" applyAlignment="1">
      <alignment horizontal="center" vertical="center" textRotation="90" wrapText="1"/>
    </xf>
    <xf numFmtId="0" fontId="21" fillId="0" borderId="0" xfId="0" applyFont="1" applyAlignment="1">
      <alignment horizontal="right" vertical="center"/>
    </xf>
    <xf numFmtId="0" fontId="21" fillId="0" borderId="2" xfId="0" applyFont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8" borderId="19" xfId="0" applyFont="1" applyFill="1" applyBorder="1" applyAlignment="1" applyProtection="1">
      <alignment horizontal="center"/>
      <protection locked="0"/>
    </xf>
    <xf numFmtId="0" fontId="12" fillId="8" borderId="42" xfId="0" applyFont="1" applyFill="1" applyBorder="1" applyAlignment="1" applyProtection="1">
      <alignment horizontal="center"/>
      <protection locked="0"/>
    </xf>
    <xf numFmtId="0" fontId="12" fillId="8" borderId="31" xfId="0" applyFont="1" applyFill="1" applyBorder="1" applyAlignment="1" applyProtection="1">
      <alignment horizontal="center"/>
      <protection locked="0"/>
    </xf>
    <xf numFmtId="0" fontId="17" fillId="0" borderId="55" xfId="0" applyFont="1" applyBorder="1" applyAlignment="1" applyProtection="1">
      <alignment horizontal="center"/>
      <protection locked="0"/>
    </xf>
    <xf numFmtId="0" fontId="5" fillId="8" borderId="64" xfId="0" applyFont="1" applyFill="1" applyBorder="1" applyAlignment="1">
      <alignment horizontal="center"/>
    </xf>
    <xf numFmtId="0" fontId="68" fillId="8" borderId="41" xfId="0" applyFont="1" applyFill="1" applyBorder="1" applyAlignment="1">
      <alignment horizontal="center"/>
    </xf>
    <xf numFmtId="0" fontId="68" fillId="8" borderId="65" xfId="0" applyFont="1" applyFill="1" applyBorder="1" applyAlignment="1">
      <alignment horizontal="center"/>
    </xf>
    <xf numFmtId="0" fontId="72" fillId="0" borderId="19" xfId="0" applyFont="1" applyBorder="1" applyAlignment="1">
      <alignment horizontal="center"/>
    </xf>
    <xf numFmtId="0" fontId="72" fillId="0" borderId="42" xfId="0" applyFont="1" applyBorder="1" applyAlignment="1">
      <alignment horizontal="center"/>
    </xf>
    <xf numFmtId="0" fontId="72" fillId="0" borderId="31" xfId="0" applyFont="1" applyBorder="1" applyAlignment="1">
      <alignment horizontal="center"/>
    </xf>
    <xf numFmtId="0" fontId="70" fillId="8" borderId="64" xfId="0" applyFont="1" applyFill="1" applyBorder="1" applyAlignment="1">
      <alignment horizontal="center"/>
    </xf>
    <xf numFmtId="0" fontId="70" fillId="8" borderId="41" xfId="0" applyFont="1" applyFill="1" applyBorder="1" applyAlignment="1">
      <alignment horizontal="center"/>
    </xf>
    <xf numFmtId="0" fontId="70" fillId="8" borderId="65" xfId="0" applyFont="1" applyFill="1" applyBorder="1" applyAlignment="1">
      <alignment horizontal="center"/>
    </xf>
    <xf numFmtId="0" fontId="69" fillId="8" borderId="64" xfId="0" applyFont="1" applyFill="1" applyBorder="1" applyAlignment="1">
      <alignment horizontal="center"/>
    </xf>
    <xf numFmtId="0" fontId="69" fillId="8" borderId="41" xfId="0" applyFont="1" applyFill="1" applyBorder="1" applyAlignment="1">
      <alignment horizontal="center"/>
    </xf>
    <xf numFmtId="0" fontId="69" fillId="8" borderId="65" xfId="0" applyFont="1" applyFill="1" applyBorder="1" applyAlignment="1">
      <alignment horizontal="center"/>
    </xf>
    <xf numFmtId="0" fontId="6" fillId="0" borderId="3" xfId="0" applyFont="1" applyBorder="1" applyAlignment="1" applyProtection="1">
      <alignment vertical="top" wrapText="1"/>
      <protection locked="0"/>
    </xf>
    <xf numFmtId="0" fontId="6" fillId="0" borderId="8" xfId="0" applyFont="1" applyBorder="1" applyAlignment="1" applyProtection="1">
      <alignment vertical="top" wrapText="1"/>
      <protection locked="0"/>
    </xf>
    <xf numFmtId="0" fontId="6" fillId="0" borderId="4" xfId="0" applyFont="1" applyBorder="1" applyAlignment="1" applyProtection="1">
      <alignment vertical="top" wrapText="1"/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4" xfId="0" applyFont="1" applyBorder="1" applyAlignment="1" applyProtection="1">
      <alignment horizontal="left" vertical="center"/>
      <protection locked="0"/>
    </xf>
    <xf numFmtId="0" fontId="17" fillId="0" borderId="1" xfId="0" applyFont="1" applyBorder="1" applyAlignment="1" applyProtection="1">
      <alignment horizontal="left"/>
      <protection locked="0"/>
    </xf>
    <xf numFmtId="0" fontId="6" fillId="8" borderId="1" xfId="0" applyFont="1" applyFill="1" applyBorder="1" applyAlignment="1" applyProtection="1">
      <alignment horizontal="center" vertical="center"/>
      <protection locked="0"/>
    </xf>
    <xf numFmtId="0" fontId="6" fillId="8" borderId="3" xfId="0" applyFont="1" applyFill="1" applyBorder="1" applyAlignment="1" applyProtection="1">
      <alignment horizontal="center" vertical="center"/>
      <protection locked="0"/>
    </xf>
    <xf numFmtId="0" fontId="6" fillId="8" borderId="8" xfId="0" applyFont="1" applyFill="1" applyBorder="1" applyAlignment="1" applyProtection="1">
      <alignment horizontal="center" vertical="center"/>
      <protection locked="0"/>
    </xf>
    <xf numFmtId="0" fontId="6" fillId="8" borderId="4" xfId="0" applyFont="1" applyFill="1" applyBorder="1" applyAlignment="1" applyProtection="1">
      <alignment horizontal="center" vertical="center"/>
      <protection locked="0"/>
    </xf>
    <xf numFmtId="0" fontId="17" fillId="4" borderId="22" xfId="0" applyFont="1" applyFill="1" applyBorder="1" applyAlignment="1" applyProtection="1">
      <alignment horizontal="center" vertical="top" wrapText="1"/>
      <protection locked="0"/>
    </xf>
    <xf numFmtId="0" fontId="17" fillId="4" borderId="17" xfId="0" applyFont="1" applyFill="1" applyBorder="1" applyAlignment="1" applyProtection="1">
      <alignment horizontal="center" vertical="top" wrapText="1"/>
      <protection locked="0"/>
    </xf>
    <xf numFmtId="0" fontId="6" fillId="23" borderId="6" xfId="0" applyFont="1" applyFill="1" applyBorder="1" applyAlignment="1">
      <alignment horizontal="left" vertical="top" wrapText="1"/>
    </xf>
    <xf numFmtId="0" fontId="6" fillId="23" borderId="5" xfId="0" applyFont="1" applyFill="1" applyBorder="1" applyAlignment="1">
      <alignment horizontal="left" vertical="top" wrapText="1"/>
    </xf>
    <xf numFmtId="0" fontId="6" fillId="23" borderId="7" xfId="0" applyFont="1" applyFill="1" applyBorder="1" applyAlignment="1">
      <alignment horizontal="left" vertical="top" wrapText="1"/>
    </xf>
    <xf numFmtId="3" fontId="6" fillId="0" borderId="1" xfId="0" applyNumberFormat="1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vertical="top"/>
      <protection locked="0"/>
    </xf>
    <xf numFmtId="0" fontId="6" fillId="8" borderId="6" xfId="0" applyFont="1" applyFill="1" applyBorder="1" applyAlignment="1">
      <alignment horizontal="left" vertical="center" wrapText="1"/>
    </xf>
    <xf numFmtId="0" fontId="6" fillId="8" borderId="5" xfId="0" applyFont="1" applyFill="1" applyBorder="1" applyAlignment="1">
      <alignment horizontal="left" vertical="center" wrapText="1"/>
    </xf>
    <xf numFmtId="0" fontId="6" fillId="8" borderId="7" xfId="0" applyFont="1" applyFill="1" applyBorder="1" applyAlignment="1">
      <alignment horizontal="left" vertical="center" wrapText="1"/>
    </xf>
    <xf numFmtId="0" fontId="6" fillId="8" borderId="6" xfId="0" applyFont="1" applyFill="1" applyBorder="1" applyAlignment="1" applyProtection="1">
      <alignment horizontal="left" vertical="center" wrapText="1"/>
      <protection locked="0"/>
    </xf>
    <xf numFmtId="0" fontId="6" fillId="8" borderId="7" xfId="0" applyFont="1" applyFill="1" applyBorder="1" applyAlignment="1" applyProtection="1">
      <alignment horizontal="left" vertical="center" wrapText="1"/>
      <protection locked="0"/>
    </xf>
    <xf numFmtId="3" fontId="6" fillId="0" borderId="3" xfId="0" applyNumberFormat="1" applyFont="1" applyBorder="1" applyAlignment="1" applyProtection="1">
      <alignment horizontal="left" vertical="center"/>
      <protection locked="0"/>
    </xf>
    <xf numFmtId="3" fontId="6" fillId="0" borderId="8" xfId="0" applyNumberFormat="1" applyFont="1" applyBorder="1" applyAlignment="1" applyProtection="1">
      <alignment horizontal="left" vertical="center"/>
      <protection locked="0"/>
    </xf>
    <xf numFmtId="3" fontId="6" fillId="0" borderId="4" xfId="0" applyNumberFormat="1" applyFont="1" applyBorder="1" applyAlignment="1" applyProtection="1">
      <alignment horizontal="left" vertical="center"/>
      <protection locked="0"/>
    </xf>
    <xf numFmtId="0" fontId="6" fillId="0" borderId="1" xfId="0" applyFont="1" applyBorder="1" applyAlignment="1">
      <alignment horizontal="center" vertical="center"/>
    </xf>
    <xf numFmtId="167" fontId="50" fillId="0" borderId="3" xfId="0" applyNumberFormat="1" applyFont="1" applyBorder="1" applyAlignment="1" applyProtection="1">
      <alignment horizontal="left" vertical="center"/>
      <protection locked="0"/>
    </xf>
    <xf numFmtId="167" fontId="50" fillId="0" borderId="8" xfId="0" applyNumberFormat="1" applyFont="1" applyBorder="1" applyAlignment="1" applyProtection="1">
      <alignment horizontal="left" vertical="center"/>
      <protection locked="0"/>
    </xf>
    <xf numFmtId="167" fontId="50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Border="1" applyAlignment="1" applyProtection="1">
      <alignment horizontal="left" vertical="top" wrapText="1"/>
      <protection locked="0"/>
    </xf>
    <xf numFmtId="0" fontId="6" fillId="0" borderId="8" xfId="0" applyFont="1" applyBorder="1" applyAlignment="1" applyProtection="1">
      <alignment horizontal="left" vertical="top" wrapText="1"/>
      <protection locked="0"/>
    </xf>
    <xf numFmtId="0" fontId="6" fillId="0" borderId="4" xfId="0" applyFont="1" applyBorder="1" applyAlignment="1" applyProtection="1">
      <alignment horizontal="left" vertical="top" wrapText="1"/>
      <protection locked="0"/>
    </xf>
    <xf numFmtId="0" fontId="6" fillId="0" borderId="3" xfId="0" applyFont="1" applyBorder="1" applyAlignment="1" applyProtection="1">
      <alignment horizontal="left" vertical="top"/>
      <protection locked="0"/>
    </xf>
    <xf numFmtId="0" fontId="6" fillId="0" borderId="8" xfId="0" applyFont="1" applyBorder="1" applyAlignment="1" applyProtection="1">
      <alignment horizontal="left" vertical="top"/>
      <protection locked="0"/>
    </xf>
    <xf numFmtId="0" fontId="6" fillId="0" borderId="4" xfId="0" applyFont="1" applyBorder="1" applyAlignment="1" applyProtection="1">
      <alignment horizontal="left" vertical="top"/>
      <protection locked="0"/>
    </xf>
    <xf numFmtId="3" fontId="6" fillId="0" borderId="3" xfId="0" applyNumberFormat="1" applyFont="1" applyBorder="1" applyAlignment="1" applyProtection="1">
      <alignment horizontal="left" vertical="top" wrapText="1"/>
      <protection locked="0"/>
    </xf>
    <xf numFmtId="0" fontId="6" fillId="0" borderId="3" xfId="0" applyFont="1" applyBorder="1" applyAlignment="1" applyProtection="1">
      <alignment horizontal="left" vertical="center" wrapText="1"/>
      <protection locked="0"/>
    </xf>
    <xf numFmtId="0" fontId="6" fillId="0" borderId="8" xfId="0" applyFont="1" applyBorder="1" applyAlignment="1" applyProtection="1">
      <alignment horizontal="left" vertical="center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3" fontId="6" fillId="0" borderId="7" xfId="0" applyNumberFormat="1" applyFont="1" applyBorder="1" applyAlignment="1" applyProtection="1">
      <alignment vertical="center" wrapText="1"/>
      <protection locked="0"/>
    </xf>
    <xf numFmtId="3" fontId="50" fillId="3" borderId="3" xfId="0" applyNumberFormat="1" applyFont="1" applyFill="1" applyBorder="1" applyAlignment="1" applyProtection="1">
      <alignment horizontal="left" vertical="center" wrapText="1"/>
      <protection locked="0"/>
    </xf>
    <xf numFmtId="3" fontId="50" fillId="3" borderId="8" xfId="0" applyNumberFormat="1" applyFont="1" applyFill="1" applyBorder="1" applyAlignment="1" applyProtection="1">
      <alignment horizontal="left" vertical="center" wrapText="1"/>
      <protection locked="0"/>
    </xf>
    <xf numFmtId="3" fontId="50" fillId="3" borderId="4" xfId="0" applyNumberFormat="1" applyFont="1" applyFill="1" applyBorder="1" applyAlignment="1" applyProtection="1">
      <alignment horizontal="left" vertical="center" wrapText="1"/>
      <protection locked="0"/>
    </xf>
    <xf numFmtId="0" fontId="6" fillId="3" borderId="3" xfId="0" applyFont="1" applyFill="1" applyBorder="1" applyAlignment="1" applyProtection="1">
      <alignment horizontal="left"/>
      <protection locked="0"/>
    </xf>
    <xf numFmtId="0" fontId="6" fillId="3" borderId="8" xfId="0" applyFont="1" applyFill="1" applyBorder="1" applyAlignment="1" applyProtection="1">
      <alignment horizontal="left"/>
      <protection locked="0"/>
    </xf>
    <xf numFmtId="3" fontId="6" fillId="3" borderId="3" xfId="0" applyNumberFormat="1" applyFont="1" applyFill="1" applyBorder="1" applyAlignment="1" applyProtection="1">
      <alignment horizontal="left" vertical="center" wrapText="1"/>
      <protection locked="0"/>
    </xf>
    <xf numFmtId="3" fontId="6" fillId="3" borderId="8" xfId="0" applyNumberFormat="1" applyFont="1" applyFill="1" applyBorder="1" applyAlignment="1" applyProtection="1">
      <alignment horizontal="left" vertical="center" wrapText="1"/>
      <protection locked="0"/>
    </xf>
    <xf numFmtId="3" fontId="6" fillId="3" borderId="4" xfId="0" applyNumberFormat="1" applyFont="1" applyFill="1" applyBorder="1" applyAlignment="1" applyProtection="1">
      <alignment horizontal="left" vertical="center" wrapText="1"/>
      <protection locked="0"/>
    </xf>
    <xf numFmtId="0" fontId="16" fillId="0" borderId="8" xfId="0" applyFont="1" applyBorder="1" applyProtection="1">
      <protection locked="0"/>
    </xf>
    <xf numFmtId="0" fontId="15" fillId="5" borderId="1" xfId="0" applyFont="1" applyFill="1" applyBorder="1" applyAlignment="1">
      <alignment horizontal="center" wrapText="1"/>
    </xf>
    <xf numFmtId="0" fontId="12" fillId="13" borderId="3" xfId="0" applyFont="1" applyFill="1" applyBorder="1" applyAlignment="1">
      <alignment horizontal="center"/>
    </xf>
    <xf numFmtId="0" fontId="12" fillId="13" borderId="8" xfId="0" applyFont="1" applyFill="1" applyBorder="1" applyAlignment="1">
      <alignment horizontal="center"/>
    </xf>
    <xf numFmtId="0" fontId="12" fillId="13" borderId="4" xfId="0" applyFont="1" applyFill="1" applyBorder="1" applyAlignment="1">
      <alignment horizontal="center"/>
    </xf>
    <xf numFmtId="0" fontId="15" fillId="5" borderId="1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top"/>
    </xf>
    <xf numFmtId="0" fontId="15" fillId="5" borderId="1" xfId="0" applyFont="1" applyFill="1" applyBorder="1" applyAlignment="1">
      <alignment horizontal="center" vertical="top" wrapText="1"/>
    </xf>
    <xf numFmtId="0" fontId="15" fillId="5" borderId="3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4" fillId="0" borderId="1" xfId="0" applyFont="1" applyBorder="1" applyAlignment="1">
      <alignment horizontal="left"/>
    </xf>
    <xf numFmtId="0" fontId="15" fillId="17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5" fillId="3" borderId="9" xfId="0" applyFont="1" applyFill="1" applyBorder="1" applyAlignment="1">
      <alignment horizontal="center" vertical="center"/>
    </xf>
    <xf numFmtId="0" fontId="15" fillId="23" borderId="6" xfId="0" applyFont="1" applyFill="1" applyBorder="1" applyAlignment="1">
      <alignment horizontal="center" vertical="center" textRotation="90"/>
    </xf>
    <xf numFmtId="0" fontId="15" fillId="23" borderId="5" xfId="0" applyFont="1" applyFill="1" applyBorder="1" applyAlignment="1">
      <alignment horizontal="center" vertical="center" textRotation="90"/>
    </xf>
    <xf numFmtId="0" fontId="15" fillId="23" borderId="7" xfId="0" applyFont="1" applyFill="1" applyBorder="1" applyAlignment="1">
      <alignment horizontal="center" vertical="center" textRotation="90"/>
    </xf>
    <xf numFmtId="0" fontId="4" fillId="9" borderId="1" xfId="0" applyFont="1" applyFill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5" fillId="0" borderId="8" xfId="0" applyFont="1" applyBorder="1" applyAlignment="1">
      <alignment horizontal="left"/>
    </xf>
    <xf numFmtId="0" fontId="15" fillId="0" borderId="4" xfId="0" applyFont="1" applyBorder="1" applyAlignment="1">
      <alignment horizontal="left"/>
    </xf>
    <xf numFmtId="0" fontId="14" fillId="0" borderId="8" xfId="0" applyFont="1" applyBorder="1" applyAlignment="1">
      <alignment horizontal="center"/>
    </xf>
    <xf numFmtId="0" fontId="15" fillId="17" borderId="1" xfId="0" applyFont="1" applyFill="1" applyBorder="1" applyAlignment="1">
      <alignment horizontal="left"/>
    </xf>
    <xf numFmtId="0" fontId="14" fillId="0" borderId="22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5" fillId="17" borderId="15" xfId="0" applyFont="1" applyFill="1" applyBorder="1" applyAlignment="1">
      <alignment horizontal="center"/>
    </xf>
    <xf numFmtId="0" fontId="15" fillId="17" borderId="9" xfId="0" applyFont="1" applyFill="1" applyBorder="1" applyAlignment="1">
      <alignment horizontal="center"/>
    </xf>
    <xf numFmtId="0" fontId="15" fillId="17" borderId="22" xfId="0" applyFont="1" applyFill="1" applyBorder="1" applyAlignment="1">
      <alignment horizontal="center"/>
    </xf>
    <xf numFmtId="0" fontId="14" fillId="14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0" fontId="15" fillId="17" borderId="1" xfId="0" applyFont="1" applyFill="1" applyBorder="1" applyAlignment="1">
      <alignment horizontal="center" vertical="center"/>
    </xf>
    <xf numFmtId="0" fontId="17" fillId="19" borderId="3" xfId="0" applyFont="1" applyFill="1" applyBorder="1" applyAlignment="1">
      <alignment horizontal="center"/>
    </xf>
    <xf numFmtId="0" fontId="17" fillId="19" borderId="8" xfId="0" applyFont="1" applyFill="1" applyBorder="1" applyAlignment="1">
      <alignment horizontal="center"/>
    </xf>
    <xf numFmtId="167" fontId="15" fillId="19" borderId="1" xfId="0" applyNumberFormat="1" applyFont="1" applyFill="1" applyBorder="1" applyAlignment="1">
      <alignment horizontal="center"/>
    </xf>
    <xf numFmtId="167" fontId="15" fillId="19" borderId="6" xfId="0" applyNumberFormat="1" applyFont="1" applyFill="1" applyBorder="1" applyAlignment="1">
      <alignment horizontal="center"/>
    </xf>
    <xf numFmtId="0" fontId="15" fillId="19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 vertical="center"/>
    </xf>
    <xf numFmtId="0" fontId="15" fillId="21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left"/>
    </xf>
    <xf numFmtId="0" fontId="14" fillId="2" borderId="8" xfId="0" applyFont="1" applyFill="1" applyBorder="1" applyAlignment="1">
      <alignment horizontal="left"/>
    </xf>
    <xf numFmtId="0" fontId="14" fillId="2" borderId="4" xfId="0" applyFont="1" applyFill="1" applyBorder="1" applyAlignment="1">
      <alignment horizontal="left"/>
    </xf>
    <xf numFmtId="0" fontId="4" fillId="14" borderId="3" xfId="0" applyFont="1" applyFill="1" applyBorder="1" applyAlignment="1">
      <alignment horizontal="center"/>
    </xf>
    <xf numFmtId="0" fontId="4" fillId="14" borderId="8" xfId="0" applyFont="1" applyFill="1" applyBorder="1" applyAlignment="1">
      <alignment horizontal="center"/>
    </xf>
  </cellXfs>
  <cellStyles count="24">
    <cellStyle name="Hyperlink" xfId="1" builtinId="8"/>
    <cellStyle name="Normal" xfId="0" builtinId="0"/>
    <cellStyle name="Normal 2" xfId="3"/>
    <cellStyle name="Normal 2 2" xfId="9"/>
    <cellStyle name="Normal 2 2 2" xfId="22"/>
    <cellStyle name="Normal 2 3" xfId="21"/>
    <cellStyle name="Normal 3" xfId="4"/>
    <cellStyle name="Normal 3 2" xfId="6"/>
    <cellStyle name="Normal 3 3" xfId="12"/>
    <cellStyle name="Normal 3 3 2" xfId="17"/>
    <cellStyle name="Normal 4" xfId="5"/>
    <cellStyle name="Normal 4 2" xfId="7"/>
    <cellStyle name="Normal 4 3" xfId="13"/>
    <cellStyle name="Normal 4 3 2" xfId="18"/>
    <cellStyle name="Normal 5" xfId="8"/>
    <cellStyle name="Normal 5 2" xfId="15"/>
    <cellStyle name="Normal 6" xfId="10"/>
    <cellStyle name="Normal 6 2" xfId="16"/>
    <cellStyle name="Normal 7" xfId="11"/>
    <cellStyle name="Normal 8" xfId="14"/>
    <cellStyle name="Normal 8 2" xfId="19"/>
    <cellStyle name="Normal 9" xfId="20"/>
    <cellStyle name="Normal 9 2" xfId="23"/>
    <cellStyle name="Percent" xfId="2" builtinId="5"/>
  </cellStyles>
  <dxfs count="55">
    <dxf>
      <font>
        <b val="0"/>
        <i val="0"/>
        <strike val="0"/>
        <color rgb="FFFF0000"/>
      </font>
      <fill>
        <patternFill patternType="lightGray">
          <fgColor theme="0" tint="-0.24994659260841701"/>
        </patternFill>
      </fill>
    </dxf>
    <dxf>
      <font>
        <b val="0"/>
        <i val="0"/>
        <strike val="0"/>
        <color rgb="FFFF0000"/>
      </font>
      <fill>
        <patternFill patternType="lightGray">
          <fgColor theme="0" tint="-0.24994659260841701"/>
        </patternFill>
      </fill>
    </dxf>
    <dxf>
      <font>
        <b val="0"/>
        <i val="0"/>
        <strike val="0"/>
        <color rgb="FFFF0000"/>
      </font>
      <fill>
        <patternFill patternType="lightGray">
          <fgColor theme="0" tint="-0.24994659260841701"/>
        </patternFill>
      </fill>
    </dxf>
    <dxf>
      <font>
        <b val="0"/>
        <i val="0"/>
        <strike val="0"/>
        <color rgb="FFFF0000"/>
      </font>
      <fill>
        <patternFill patternType="lightGray">
          <fgColor theme="0" tint="-0.24994659260841701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b val="0"/>
        <i val="0"/>
        <color rgb="FF0B080C"/>
      </font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ont>
        <b val="0"/>
        <i val="0"/>
        <color rgb="FF0B080C"/>
      </font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ont>
        <b val="0"/>
        <i val="0"/>
        <color rgb="FF0B080C"/>
      </font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ont>
        <b val="0"/>
        <i val="0"/>
        <color rgb="FF0B080C"/>
      </font>
      <fill>
        <gradientFill type="path" left="0.5" right="0.5" top="0.5" bottom="0.5">
          <stop position="0">
            <color theme="0"/>
          </stop>
          <stop position="1">
            <color theme="5" tint="0.40000610370189521"/>
          </stop>
        </gradientFill>
      </fill>
    </dxf>
    <dxf>
      <font>
        <b val="0"/>
        <i val="0"/>
        <color rgb="FF0B080C"/>
      </font>
      <fill>
        <patternFill patternType="solid">
          <fgColor indexed="64"/>
          <bgColor rgb="FF99FF99"/>
        </patternFill>
      </fill>
    </dxf>
    <dxf>
      <font>
        <b val="0"/>
        <i val="0"/>
        <color rgb="FF0B080C"/>
      </font>
      <fill>
        <gradientFill type="path" left="0.5" right="0.5" top="0.5" bottom="0.5">
          <stop position="0">
            <color theme="0"/>
          </stop>
          <stop position="1">
            <color theme="5" tint="0.40000610370189521"/>
          </stop>
        </gradientFill>
      </fill>
    </dxf>
    <dxf>
      <font>
        <b val="0"/>
        <i val="0"/>
        <color rgb="FF0B080C"/>
      </font>
      <fill>
        <patternFill patternType="solid">
          <fgColor indexed="64"/>
          <bgColor rgb="FF99FF99"/>
        </patternFill>
      </fill>
    </dxf>
    <dxf>
      <font>
        <b val="0"/>
        <i val="0"/>
        <color rgb="FF0B080C"/>
      </font>
      <fill>
        <gradientFill type="path" left="0.5" right="0.5" top="0.5" bottom="0.5">
          <stop position="0">
            <color theme="0"/>
          </stop>
          <stop position="1">
            <color theme="5" tint="0.40000610370189521"/>
          </stop>
        </gradientFill>
      </fill>
    </dxf>
    <dxf>
      <font>
        <b val="0"/>
        <i val="0"/>
        <color rgb="FF0B080C"/>
      </font>
      <fill>
        <patternFill patternType="solid">
          <fgColor indexed="64"/>
          <bgColor rgb="FF99FF99"/>
        </patternFill>
      </fill>
    </dxf>
    <dxf>
      <font>
        <b val="0"/>
        <i val="0"/>
        <color rgb="FF0B080C"/>
      </font>
      <fill>
        <gradientFill type="path" left="0.5" right="0.5" top="0.5" bottom="0.5">
          <stop position="0">
            <color theme="0"/>
          </stop>
          <stop position="1">
            <color theme="5" tint="0.40000610370189521"/>
          </stop>
        </gradientFill>
      </fill>
    </dxf>
    <dxf>
      <font>
        <b val="0"/>
        <i val="0"/>
        <color rgb="FF0B080C"/>
      </font>
      <fill>
        <patternFill patternType="solid">
          <fgColor indexed="64"/>
          <bgColor rgb="FF99FF99"/>
        </patternFill>
      </fill>
    </dxf>
    <dxf>
      <font>
        <b val="0"/>
        <i val="0"/>
        <color rgb="FF0B080C"/>
      </font>
      <fill>
        <gradientFill type="path" left="0.5" right="0.5" top="0.5" bottom="0.5">
          <stop position="0">
            <color theme="0"/>
          </stop>
          <stop position="1">
            <color theme="5" tint="0.40000610370189521"/>
          </stop>
        </gradientFill>
      </fill>
    </dxf>
    <dxf>
      <font>
        <b val="0"/>
        <i val="0"/>
        <color rgb="FF0B080C"/>
      </font>
      <fill>
        <patternFill patternType="solid">
          <fgColor indexed="64"/>
          <bgColor rgb="FF99FF99"/>
        </patternFill>
      </fill>
    </dxf>
    <dxf>
      <font>
        <b val="0"/>
        <i val="0"/>
        <color rgb="FF0B080C"/>
      </font>
      <fill>
        <gradientFill type="path" left="0.5" right="0.5" top="0.5" bottom="0.5">
          <stop position="0">
            <color theme="0"/>
          </stop>
          <stop position="1">
            <color theme="5" tint="0.40000610370189521"/>
          </stop>
        </gradientFill>
      </fill>
    </dxf>
    <dxf>
      <font>
        <b val="0"/>
        <i val="0"/>
        <color rgb="FF0B080C"/>
      </font>
      <fill>
        <gradientFill type="path" left="0.5" right="0.5" top="0.5" bottom="0.5">
          <stop position="0">
            <color theme="0"/>
          </stop>
          <stop position="1">
            <color theme="5" tint="0.40000610370189521"/>
          </stop>
        </gradientFill>
      </fill>
    </dxf>
    <dxf>
      <font>
        <b val="0"/>
        <i val="0"/>
        <color rgb="FF0B080C"/>
      </font>
      <fill>
        <patternFill patternType="solid">
          <fgColor indexed="64"/>
          <bgColor rgb="FF99FF99"/>
        </patternFill>
      </fill>
    </dxf>
    <dxf>
      <font>
        <b val="0"/>
        <i val="0"/>
        <color rgb="FF0B080C"/>
      </font>
      <fill>
        <gradientFill type="path" left="0.5" right="0.5" top="0.5" bottom="0.5">
          <stop position="0">
            <color theme="0"/>
          </stop>
          <stop position="1">
            <color theme="5" tint="0.40000610370189521"/>
          </stop>
        </gradientFill>
      </fill>
    </dxf>
    <dxf>
      <font>
        <b val="0"/>
        <i val="0"/>
        <color rgb="FF0B080C"/>
      </font>
      <fill>
        <patternFill patternType="solid">
          <fgColor indexed="64"/>
          <bgColor rgb="FF99FF99"/>
        </patternFill>
      </fill>
    </dxf>
    <dxf>
      <font>
        <b val="0"/>
        <i val="0"/>
        <color rgb="FF0B080C"/>
      </font>
      <fill>
        <patternFill patternType="solid">
          <fgColor indexed="64"/>
          <bgColor rgb="FF99FF99"/>
        </patternFill>
      </fill>
    </dxf>
    <dxf>
      <font>
        <b val="0"/>
        <i val="0"/>
        <color rgb="FF0B080C"/>
      </font>
      <fill>
        <gradientFill type="path" left="0.5" right="0.5" top="0.5" bottom="0.5">
          <stop position="0">
            <color theme="0"/>
          </stop>
          <stop position="1">
            <color theme="5" tint="0.40000610370189521"/>
          </stop>
        </gradientFill>
      </fill>
    </dxf>
    <dxf>
      <font>
        <b val="0"/>
        <i val="0"/>
        <color rgb="FF0B080C"/>
      </font>
      <fill>
        <patternFill patternType="solid">
          <fgColor indexed="64"/>
          <bgColor rgb="FF99FF99"/>
        </patternFill>
      </fill>
    </dxf>
    <dxf>
      <font>
        <b val="0"/>
        <i val="0"/>
        <color rgb="FF0B080C"/>
      </font>
      <fill>
        <gradientFill type="path" left="0.5" right="0.5" top="0.5" bottom="0.5">
          <stop position="0">
            <color theme="0"/>
          </stop>
          <stop position="1">
            <color theme="5" tint="0.40000610370189521"/>
          </stop>
        </gradientFill>
      </fill>
    </dxf>
    <dxf>
      <font>
        <b val="0"/>
        <i val="0"/>
        <color rgb="FF0B080C"/>
      </font>
      <fill>
        <gradientFill type="path" left="0.5" right="0.5" top="0.5" bottom="0.5">
          <stop position="0">
            <color theme="0"/>
          </stop>
          <stop position="1">
            <color theme="5" tint="0.40000610370189521"/>
          </stop>
        </gradientFill>
      </fill>
    </dxf>
    <dxf>
      <font>
        <b val="0"/>
        <i val="0"/>
        <color rgb="FF0B080C"/>
      </font>
      <fill>
        <patternFill patternType="solid">
          <fgColor indexed="64"/>
          <bgColor rgb="FF99FF99"/>
        </patternFill>
      </fill>
    </dxf>
    <dxf>
      <font>
        <b val="0"/>
        <i val="0"/>
        <color rgb="FF0B080C"/>
      </font>
      <fill>
        <patternFill patternType="solid">
          <fgColor indexed="64"/>
          <bgColor rgb="FF99FF99"/>
        </patternFill>
      </fill>
    </dxf>
    <dxf>
      <font>
        <b val="0"/>
        <i val="0"/>
        <color rgb="FF0B080C"/>
      </font>
      <fill>
        <gradientFill type="path" left="0.5" right="0.5" top="0.5" bottom="0.5">
          <stop position="0">
            <color theme="0"/>
          </stop>
          <stop position="1">
            <color theme="5" tint="0.40000610370189521"/>
          </stop>
        </gradientFill>
      </fill>
    </dxf>
    <dxf>
      <font>
        <b val="0"/>
        <i val="0"/>
        <color rgb="FF0B080C"/>
      </font>
      <fill>
        <gradientFill type="path" left="0.5" right="0.5" top="0.5" bottom="0.5">
          <stop position="0">
            <color theme="0"/>
          </stop>
          <stop position="1">
            <color theme="5" tint="0.40000610370189521"/>
          </stop>
        </gradientFill>
      </fill>
    </dxf>
    <dxf>
      <font>
        <b val="0"/>
        <i val="0"/>
        <color rgb="FF0B080C"/>
      </font>
      <fill>
        <patternFill patternType="solid">
          <fgColor indexed="64"/>
          <bgColor rgb="FF99FF99"/>
        </patternFill>
      </fill>
    </dxf>
    <dxf>
      <font>
        <b val="0"/>
        <i val="0"/>
        <color rgb="FF0B080C"/>
      </font>
      <fill>
        <gradientFill type="path" left="0.5" right="0.5" top="0.5" bottom="0.5">
          <stop position="0">
            <color theme="0"/>
          </stop>
          <stop position="1">
            <color theme="5" tint="0.40000610370189521"/>
          </stop>
        </gradientFill>
      </fill>
    </dxf>
    <dxf>
      <font>
        <b val="0"/>
        <i val="0"/>
        <color rgb="FF0B080C"/>
      </font>
      <fill>
        <patternFill patternType="solid">
          <fgColor indexed="64"/>
          <bgColor rgb="FF99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0"/>
        </patternFill>
      </fill>
    </dxf>
    <dxf>
      <fill>
        <patternFill>
          <bgColor theme="5" tint="0.59996337778862885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theme="5" tint="0.59999389629810485"/>
          </stop>
        </gradientFill>
      </fill>
    </dxf>
  </dxfs>
  <tableStyles count="0" defaultTableStyle="TableStyleMedium9" defaultPivotStyle="PivotStyleLight16"/>
  <colors>
    <mruColors>
      <color rgb="FFFF5050"/>
      <color rgb="FFF8696B"/>
      <color rgb="FFFC4B04"/>
      <color rgb="FF20DA6B"/>
      <color rgb="FF26F00A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showGridLines="0" topLeftCell="B1" zoomScale="86" zoomScaleNormal="86" workbookViewId="0">
      <pane xSplit="12" ySplit="17" topLeftCell="N21" activePane="bottomRight" state="frozen"/>
      <selection pane="topRight" activeCell="L1" sqref="L1"/>
      <selection pane="bottomLeft" activeCell="B18" sqref="B18"/>
      <selection pane="bottomRight" activeCell="F13" sqref="F13"/>
    </sheetView>
  </sheetViews>
  <sheetFormatPr defaultColWidth="9.28515625" defaultRowHeight="25.5"/>
  <cols>
    <col min="1" max="1" width="3.28515625" style="50" customWidth="1"/>
    <col min="2" max="2" width="60.28515625" style="50" bestFit="1" customWidth="1"/>
    <col min="3" max="3" width="13.28515625" style="51" bestFit="1" customWidth="1"/>
    <col min="4" max="4" width="11" style="51" hidden="1" customWidth="1"/>
    <col min="5" max="5" width="11.28515625" style="52" hidden="1" customWidth="1"/>
    <col min="6" max="6" width="10" style="52" customWidth="1"/>
    <col min="7" max="7" width="17.28515625" style="52" customWidth="1"/>
    <col min="8" max="8" width="11" style="52" bestFit="1" customWidth="1"/>
    <col min="9" max="9" width="11.28515625" style="50" bestFit="1" customWidth="1"/>
    <col min="10" max="10" width="11" style="50" bestFit="1" customWidth="1"/>
    <col min="11" max="11" width="11.28515625" style="50" bestFit="1" customWidth="1"/>
    <col min="12" max="12" width="12.28515625" style="50" hidden="1" customWidth="1"/>
    <col min="13" max="13" width="14.28515625" style="50" hidden="1" customWidth="1"/>
    <col min="14" max="16384" width="9.28515625" style="50"/>
  </cols>
  <sheetData>
    <row r="1" spans="1:13" ht="9" customHeight="1" thickBot="1"/>
    <row r="2" spans="1:13" ht="26.25" customHeight="1" thickBot="1">
      <c r="A2" s="53"/>
      <c r="B2" s="53"/>
      <c r="C2" s="53"/>
      <c r="D2" s="676" t="s">
        <v>0</v>
      </c>
      <c r="E2" s="676"/>
      <c r="F2" s="677" t="s">
        <v>1</v>
      </c>
      <c r="G2" s="677" t="s">
        <v>2</v>
      </c>
      <c r="H2" s="672" t="s">
        <v>3</v>
      </c>
      <c r="I2" s="672"/>
      <c r="J2" s="673" t="s">
        <v>4</v>
      </c>
      <c r="K2" s="673"/>
      <c r="L2" s="674" t="s">
        <v>5</v>
      </c>
      <c r="M2" s="674"/>
    </row>
    <row r="3" spans="1:13" ht="20.25" customHeight="1" thickBot="1">
      <c r="A3" s="53"/>
      <c r="B3" s="56" t="str">
        <f>CONCATENATE("DATE:","    ",'OTHER REPORTS'!A3)</f>
        <v>DATE:    TUESDAY 21ST OCTOBER 2025</v>
      </c>
      <c r="C3" s="53"/>
      <c r="D3" s="69" t="s">
        <v>6</v>
      </c>
      <c r="E3" s="69" t="s">
        <v>7</v>
      </c>
      <c r="F3" s="678"/>
      <c r="G3" s="678"/>
      <c r="H3" s="69" t="s">
        <v>6</v>
      </c>
      <c r="I3" s="69" t="s">
        <v>7</v>
      </c>
      <c r="J3" s="69" t="s">
        <v>6</v>
      </c>
      <c r="K3" s="69" t="s">
        <v>7</v>
      </c>
      <c r="L3" s="69" t="s">
        <v>6</v>
      </c>
      <c r="M3" s="69" t="s">
        <v>7</v>
      </c>
    </row>
    <row r="4" spans="1:13" ht="26.25" thickBot="1">
      <c r="A4" s="675"/>
      <c r="B4" s="57" t="s">
        <v>8</v>
      </c>
      <c r="C4" s="60" t="s">
        <v>9</v>
      </c>
      <c r="D4" s="55">
        <v>90</v>
      </c>
      <c r="E4" s="63">
        <f>'AVAILABILITY DASHBOARD'!P6</f>
        <v>90.690104166666615</v>
      </c>
      <c r="F4" s="63">
        <f>SUM('AVAILABILITY DASHBOARD'!M6:M12)</f>
        <v>13</v>
      </c>
      <c r="G4" s="73">
        <f>F4/7</f>
        <v>1.8571428571428572</v>
      </c>
      <c r="H4" s="64"/>
      <c r="I4" s="65">
        <f ca="1">'AVAILABILITY DASHBOARD'!Q6</f>
        <v>0.57897376543209444</v>
      </c>
      <c r="J4" s="70">
        <v>3.125E-2</v>
      </c>
      <c r="K4" s="70">
        <f>'AVAILABILITY DASHBOARD'!R6</f>
        <v>0.11226851851851598</v>
      </c>
      <c r="L4" s="66"/>
      <c r="M4" s="66"/>
    </row>
    <row r="5" spans="1:13" ht="26.25" thickBot="1">
      <c r="A5" s="675"/>
      <c r="B5" s="58" t="s">
        <v>10</v>
      </c>
      <c r="C5" s="61" t="s">
        <v>11</v>
      </c>
      <c r="D5" s="55">
        <v>95</v>
      </c>
      <c r="E5" s="67">
        <f>'AVAILABILITY DASHBOARD'!P23</f>
        <v>86.892361111111029</v>
      </c>
      <c r="F5" s="67" t="e">
        <f>SUM('AVAILABILITY DASHBOARD'!#REF!)</f>
        <v>#REF!</v>
      </c>
      <c r="G5" s="72" t="e">
        <f>F5/2</f>
        <v>#REF!</v>
      </c>
      <c r="H5" s="64"/>
      <c r="I5" s="65">
        <f>'AVAILABILITY DASHBOARD'!Q23</f>
        <v>0.89513888888888327</v>
      </c>
      <c r="J5" s="70">
        <v>3.125E-2</v>
      </c>
      <c r="K5" s="70">
        <f>'AVAILABILITY DASHBOARD'!R23</f>
        <v>4.8611111111104804E-2</v>
      </c>
      <c r="L5" s="66"/>
      <c r="M5" s="66"/>
    </row>
    <row r="6" spans="1:13" ht="26.25" thickBot="1">
      <c r="A6" s="675"/>
      <c r="B6" s="58" t="s">
        <v>12</v>
      </c>
      <c r="C6" s="61" t="s">
        <v>13</v>
      </c>
      <c r="D6" s="55">
        <v>87</v>
      </c>
      <c r="E6" s="67">
        <f>'AVAILABILITY DASHBOARD'!P32</f>
        <v>75.893670309653757</v>
      </c>
      <c r="F6" s="67">
        <f>SUM('AVAILABILITY DASHBOARD'!M32:M63)</f>
        <v>8</v>
      </c>
      <c r="G6" s="72">
        <f>F6/34</f>
        <v>0.23529411764705882</v>
      </c>
      <c r="H6" s="64"/>
      <c r="I6" s="65">
        <f>'AVAILABILITY DASHBOARD'!Q32</f>
        <v>0.82602294389977637</v>
      </c>
      <c r="J6" s="70">
        <v>3.125E-2</v>
      </c>
      <c r="K6" s="70">
        <f>'AVAILABILITY DASHBOARD'!R32</f>
        <v>2.0726981351981175</v>
      </c>
      <c r="L6" s="66"/>
      <c r="M6" s="66"/>
    </row>
    <row r="7" spans="1:13" ht="26.25" thickBot="1">
      <c r="A7" s="675"/>
      <c r="B7" s="58" t="s">
        <v>14</v>
      </c>
      <c r="C7" s="61" t="s">
        <v>15</v>
      </c>
      <c r="D7" s="55">
        <v>92</v>
      </c>
      <c r="E7" s="67">
        <f>'AVAILABILITY DASHBOARD'!H266</f>
        <v>93.548387096774192</v>
      </c>
      <c r="F7" s="67"/>
      <c r="G7" s="67"/>
      <c r="H7" s="64"/>
      <c r="I7" s="65"/>
      <c r="J7" s="71"/>
      <c r="K7" s="71"/>
      <c r="L7" s="66"/>
      <c r="M7" s="66"/>
    </row>
    <row r="8" spans="1:13" ht="26.25" thickBot="1">
      <c r="A8" s="675"/>
      <c r="B8" s="58" t="s">
        <v>16</v>
      </c>
      <c r="C8" s="61" t="s">
        <v>17</v>
      </c>
      <c r="D8" s="55">
        <v>92</v>
      </c>
      <c r="E8" s="67">
        <f>'AVAILABILITY DASHBOARD'!H270</f>
        <v>100</v>
      </c>
      <c r="F8" s="67"/>
      <c r="G8" s="67"/>
      <c r="H8" s="64"/>
      <c r="I8" s="65"/>
      <c r="J8" s="71"/>
      <c r="K8" s="71"/>
      <c r="L8" s="66"/>
      <c r="M8" s="66"/>
    </row>
    <row r="9" spans="1:13" ht="26.25" thickBot="1">
      <c r="A9" s="675"/>
      <c r="B9" s="58" t="s">
        <v>18</v>
      </c>
      <c r="C9" s="61" t="s">
        <v>19</v>
      </c>
      <c r="D9" s="55">
        <v>92</v>
      </c>
      <c r="E9" s="67">
        <f>'AVAILABILITY DASHBOARD'!H271</f>
        <v>92.857142857142861</v>
      </c>
      <c r="F9" s="67"/>
      <c r="G9" s="67"/>
      <c r="H9" s="64"/>
      <c r="I9" s="65"/>
      <c r="J9" s="71"/>
      <c r="K9" s="71"/>
      <c r="L9" s="66"/>
      <c r="M9" s="66"/>
    </row>
    <row r="10" spans="1:13" ht="26.25" thickBot="1">
      <c r="A10" s="675"/>
      <c r="B10" s="58" t="s">
        <v>20</v>
      </c>
      <c r="C10" s="61" t="s">
        <v>21</v>
      </c>
      <c r="D10" s="55">
        <v>80</v>
      </c>
      <c r="E10" s="67" t="e">
        <f>'AVAILABILITY DASHBOARD'!#REF!</f>
        <v>#REF!</v>
      </c>
      <c r="F10" s="67">
        <f>SUM('AVAILABILITY DASHBOARD'!M99:M117)</f>
        <v>3</v>
      </c>
      <c r="G10" s="72">
        <f>F10/20</f>
        <v>0.15</v>
      </c>
      <c r="H10" s="64"/>
      <c r="I10" s="65" t="e">
        <f>'AVAILABILITY DASHBOARD'!#REF!</f>
        <v>#REF!</v>
      </c>
      <c r="J10" s="70">
        <v>3.125E-2</v>
      </c>
      <c r="K10" s="70" t="e">
        <f>'AVAILABILITY DASHBOARD'!#REF!</f>
        <v>#REF!</v>
      </c>
      <c r="L10" s="66"/>
      <c r="M10" s="66"/>
    </row>
    <row r="11" spans="1:13" ht="26.25" thickBot="1">
      <c r="A11" s="675"/>
      <c r="B11" s="58" t="s">
        <v>22</v>
      </c>
      <c r="C11" s="61" t="s">
        <v>23</v>
      </c>
      <c r="D11" s="55">
        <v>85</v>
      </c>
      <c r="E11" s="67" t="e">
        <f>'AVAILABILITY DASHBOARD'!#REF!</f>
        <v>#REF!</v>
      </c>
      <c r="F11" s="67">
        <f>SUM('AVAILABILITY DASHBOARD'!M119:M120)</f>
        <v>0</v>
      </c>
      <c r="G11" s="72">
        <f>F11/5</f>
        <v>0</v>
      </c>
      <c r="H11" s="64"/>
      <c r="I11" s="65" t="e">
        <f>'AVAILABILITY DASHBOARD'!#REF!</f>
        <v>#REF!</v>
      </c>
      <c r="J11" s="70">
        <v>3.125E-2</v>
      </c>
      <c r="K11" s="70" t="e">
        <f>'AVAILABILITY DASHBOARD'!#REF!</f>
        <v>#REF!</v>
      </c>
      <c r="L11" s="66"/>
      <c r="M11" s="66"/>
    </row>
    <row r="12" spans="1:13" ht="26.25" thickBot="1">
      <c r="A12" s="675"/>
      <c r="B12" s="58" t="s">
        <v>24</v>
      </c>
      <c r="C12" s="61" t="s">
        <v>25</v>
      </c>
      <c r="D12" s="55">
        <v>90</v>
      </c>
      <c r="E12" s="67">
        <f>'AVAILABILITY DASHBOARD'!H268</f>
        <v>94.339622641509436</v>
      </c>
      <c r="F12" s="67"/>
      <c r="G12" s="67"/>
      <c r="H12" s="64"/>
      <c r="I12" s="68"/>
      <c r="J12" s="71"/>
      <c r="K12" s="71"/>
      <c r="L12" s="66"/>
      <c r="M12" s="66"/>
    </row>
    <row r="13" spans="1:13" ht="26.25" thickBot="1">
      <c r="A13" s="675"/>
      <c r="B13" s="58" t="s">
        <v>26</v>
      </c>
      <c r="C13" s="61" t="s">
        <v>27</v>
      </c>
      <c r="D13" s="55">
        <v>95</v>
      </c>
      <c r="E13" s="67" t="e">
        <f>'AVAILABILITY DASHBOARD'!#REF!</f>
        <v>#REF!</v>
      </c>
      <c r="F13" s="67"/>
      <c r="G13" s="67"/>
      <c r="H13" s="64"/>
      <c r="I13" s="68"/>
      <c r="J13" s="71"/>
      <c r="K13" s="71"/>
      <c r="L13" s="66"/>
      <c r="M13" s="66"/>
    </row>
    <row r="14" spans="1:13" ht="26.25" thickBot="1">
      <c r="A14" s="675"/>
      <c r="B14" s="58" t="s">
        <v>28</v>
      </c>
      <c r="C14" s="61" t="s">
        <v>29</v>
      </c>
      <c r="D14" s="55">
        <v>80</v>
      </c>
      <c r="E14" s="67" t="e">
        <f>'AVAILABILITY DASHBOARD'!#REF!</f>
        <v>#REF!</v>
      </c>
      <c r="F14" s="67"/>
      <c r="G14" s="67"/>
      <c r="H14" s="64"/>
      <c r="I14" s="68"/>
      <c r="J14" s="71"/>
      <c r="K14" s="71"/>
      <c r="L14" s="66"/>
      <c r="M14" s="66"/>
    </row>
    <row r="15" spans="1:13" ht="26.25" thickBot="1">
      <c r="A15" s="675"/>
      <c r="B15" s="58" t="s">
        <v>30</v>
      </c>
      <c r="C15" s="61" t="s">
        <v>31</v>
      </c>
      <c r="D15" s="55">
        <v>80</v>
      </c>
      <c r="E15" s="67" t="e">
        <f>'AVAILABILITY DASHBOARD'!#REF!</f>
        <v>#REF!</v>
      </c>
      <c r="F15" s="67"/>
      <c r="G15" s="67"/>
      <c r="H15" s="64"/>
      <c r="I15" s="68"/>
      <c r="J15" s="71"/>
      <c r="K15" s="71"/>
      <c r="L15" s="66"/>
      <c r="M15" s="66"/>
    </row>
    <row r="16" spans="1:13" ht="26.25" thickBot="1">
      <c r="A16" s="675"/>
      <c r="B16" s="59" t="s">
        <v>32</v>
      </c>
      <c r="C16" s="62" t="s">
        <v>33</v>
      </c>
      <c r="D16" s="55">
        <v>80</v>
      </c>
      <c r="E16" s="67" t="e">
        <f>'AVAILABILITY DASHBOARD'!#REF!</f>
        <v>#REF!</v>
      </c>
      <c r="F16" s="67"/>
      <c r="G16" s="67"/>
      <c r="H16" s="64"/>
      <c r="I16" s="68"/>
      <c r="J16" s="71"/>
      <c r="K16" s="71"/>
      <c r="L16" s="66"/>
      <c r="M16" s="66"/>
    </row>
    <row r="17" spans="1:9" ht="8.25" customHeight="1">
      <c r="A17" s="675"/>
      <c r="B17" s="675"/>
      <c r="C17" s="675"/>
      <c r="D17" s="675"/>
      <c r="E17" s="675"/>
      <c r="F17" s="53"/>
      <c r="G17" s="53"/>
      <c r="H17" s="53"/>
      <c r="I17" s="54"/>
    </row>
    <row r="18" spans="1:9" ht="14.25" customHeight="1"/>
  </sheetData>
  <sheetProtection algorithmName="SHA-512" hashValue="nlUVtqANXLXLYrhP+fcrqK1Bt48ghnJX4LnLJsiCe0+yEQy20qE+kuBsbHmSUnHVU8ByQVw2FiNA9Dkf4APKPQ==" saltValue="52Am+s2FWCNEk7/GEBfdXg==" spinCount="100000" sheet="1" objects="1" scenarios="1" selectLockedCells="1" selectUnlockedCells="1"/>
  <mergeCells count="8">
    <mergeCell ref="H2:I2"/>
    <mergeCell ref="J2:K2"/>
    <mergeCell ref="L2:M2"/>
    <mergeCell ref="A4:A17"/>
    <mergeCell ref="B17:E17"/>
    <mergeCell ref="D2:E2"/>
    <mergeCell ref="F2:F3"/>
    <mergeCell ref="G2:G3"/>
  </mergeCells>
  <conditionalFormatting sqref="E12:G12">
    <cfRule type="iconSet" priority="44">
      <iconSet iconSet="3TrafficLights2">
        <cfvo type="percent" val="0"/>
        <cfvo type="num" val="87"/>
        <cfvo type="num" val="92"/>
      </iconSet>
    </cfRule>
  </conditionalFormatting>
  <conditionalFormatting sqref="E13:G13">
    <cfRule type="iconSet" priority="42">
      <iconSet iconSet="3TrafficLights2">
        <cfvo type="percent" val="0"/>
        <cfvo type="num" val="92"/>
        <cfvo type="num" val="95"/>
      </iconSet>
    </cfRule>
  </conditionalFormatting>
  <conditionalFormatting sqref="E14:G14">
    <cfRule type="iconSet" priority="41">
      <iconSet iconSet="3TrafficLights2">
        <cfvo type="percent" val="0"/>
        <cfvo type="num" val="78"/>
        <cfvo type="num" val="80"/>
      </iconSet>
    </cfRule>
  </conditionalFormatting>
  <conditionalFormatting sqref="E15:G15">
    <cfRule type="iconSet" priority="40">
      <iconSet iconSet="3TrafficLights2">
        <cfvo type="percent" val="0"/>
        <cfvo type="num" val="78"/>
        <cfvo type="num" val="80"/>
      </iconSet>
    </cfRule>
  </conditionalFormatting>
  <conditionalFormatting sqref="E16:G16">
    <cfRule type="iconSet" priority="39">
      <iconSet iconSet="3TrafficLights2">
        <cfvo type="percent" val="0"/>
        <cfvo type="num" val="78"/>
        <cfvo type="num" val="80"/>
      </iconSet>
    </cfRule>
  </conditionalFormatting>
  <conditionalFormatting sqref="I4">
    <cfRule type="iconSet" priority="31">
      <iconSet iconSet="3Arrows">
        <cfvo type="percent" val="0"/>
        <cfvo type="num" val="0.375"/>
        <cfvo type="num" val="0.41666666699999999"/>
      </iconSet>
    </cfRule>
  </conditionalFormatting>
  <conditionalFormatting sqref="I5">
    <cfRule type="iconSet" priority="4">
      <iconSet iconSet="3Arrows">
        <cfvo type="percent" val="0"/>
        <cfvo type="num" val="0.375"/>
        <cfvo type="num" val="0.41666666699999999"/>
      </iconSet>
    </cfRule>
  </conditionalFormatting>
  <conditionalFormatting sqref="I6">
    <cfRule type="iconSet" priority="3">
      <iconSet iconSet="3Arrows">
        <cfvo type="percent" val="0"/>
        <cfvo type="num" val="0.375"/>
        <cfvo type="num" val="0.41666666699999999"/>
      </iconSet>
    </cfRule>
  </conditionalFormatting>
  <conditionalFormatting sqref="I10">
    <cfRule type="iconSet" priority="2">
      <iconSet iconSet="3Arrows">
        <cfvo type="percent" val="0"/>
        <cfvo type="num" val="0.375"/>
        <cfvo type="num" val="0.41666666699999999"/>
      </iconSet>
    </cfRule>
  </conditionalFormatting>
  <conditionalFormatting sqref="I11">
    <cfRule type="iconSet" priority="1">
      <iconSet iconSet="3Arrows">
        <cfvo type="percent" val="0"/>
        <cfvo type="num" val="0.375"/>
        <cfvo type="num" val="0.41666666699999999"/>
      </iconSet>
    </cfRule>
  </conditionalFormatting>
  <conditionalFormatting sqref="K4">
    <cfRule type="iconSet" priority="26">
      <iconSet iconSet="3Arrows" reverse="1">
        <cfvo type="percent" val="0"/>
        <cfvo type="num" val="2.7777777999999999E-2"/>
        <cfvo type="num" val="3.125E-2"/>
      </iconSet>
    </cfRule>
  </conditionalFormatting>
  <conditionalFormatting sqref="K5">
    <cfRule type="iconSet" priority="25">
      <iconSet iconSet="3Arrows" reverse="1">
        <cfvo type="percent" val="0"/>
        <cfvo type="percent" val="1.3888889E-2"/>
        <cfvo type="percent" val="3.125E-2"/>
      </iconSet>
    </cfRule>
  </conditionalFormatting>
  <conditionalFormatting sqref="K5:K6">
    <cfRule type="iconSet" priority="23">
      <iconSet iconSet="3Arrows" reverse="1">
        <cfvo type="percent" val="0"/>
        <cfvo type="num" val="2.7777777999999999E-2"/>
        <cfvo type="num" val="3.125E-2"/>
      </iconSet>
    </cfRule>
  </conditionalFormatting>
  <conditionalFormatting sqref="K6">
    <cfRule type="iconSet" priority="24">
      <iconSet iconSet="3Arrows" reverse="1">
        <cfvo type="percent" val="0"/>
        <cfvo type="percent" val="1.3888889E-2"/>
        <cfvo type="percent" val="3.125E-2"/>
      </iconSet>
    </cfRule>
  </conditionalFormatting>
  <conditionalFormatting sqref="K10">
    <cfRule type="iconSet" priority="22">
      <iconSet iconSet="3Arrows" reverse="1">
        <cfvo type="percent" val="0"/>
        <cfvo type="num" val="2.7777777999999999E-2"/>
        <cfvo type="num" val="3.125E-2"/>
      </iconSet>
    </cfRule>
  </conditionalFormatting>
  <conditionalFormatting sqref="K11">
    <cfRule type="iconSet" priority="21">
      <iconSet iconSet="3Arrows" reverse="1">
        <cfvo type="percent" val="0"/>
        <cfvo type="num" val="2.7777777999999999E-2"/>
        <cfvo type="num" val="3.125E-2"/>
      </iconSet>
    </cfRule>
  </conditionalFormatting>
  <pageMargins left="0.7" right="0.7" top="0.75" bottom="0.75" header="0.3" footer="0.3"/>
  <pageSetup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zoomScale="90" zoomScaleNormal="90" zoomScaleSheetLayoutView="100" workbookViewId="0">
      <pane ySplit="3" topLeftCell="A7" activePane="bottomLeft" state="frozen"/>
      <selection activeCell="N2" sqref="N2"/>
      <selection pane="bottomLeft" activeCell="N2" sqref="N2"/>
    </sheetView>
  </sheetViews>
  <sheetFormatPr defaultColWidth="21.28515625" defaultRowHeight="18"/>
  <cols>
    <col min="1" max="1" width="21.28515625" style="109"/>
    <col min="2" max="2" width="15.7109375" style="109" customWidth="1"/>
    <col min="3" max="3" width="19.28515625" style="109" customWidth="1"/>
    <col min="4" max="4" width="24" style="109" customWidth="1"/>
    <col min="5" max="5" width="22.28515625" style="109" customWidth="1"/>
    <col min="6" max="6" width="11" style="109" customWidth="1"/>
    <col min="7" max="7" width="13.28515625" style="109" bestFit="1" customWidth="1"/>
    <col min="8" max="8" width="58.7109375" style="109" bestFit="1" customWidth="1"/>
    <col min="9" max="16384" width="21.28515625" style="109"/>
  </cols>
  <sheetData>
    <row r="1" spans="1:10" ht="25.5">
      <c r="A1" s="682" t="s">
        <v>34</v>
      </c>
      <c r="B1" s="682"/>
      <c r="C1" s="682"/>
      <c r="D1" s="682"/>
      <c r="E1" s="682"/>
      <c r="F1" s="682"/>
      <c r="G1" s="682"/>
      <c r="H1" s="682"/>
    </row>
    <row r="2" spans="1:10" ht="25.5">
      <c r="A2" s="123" t="s">
        <v>35</v>
      </c>
      <c r="B2" s="682" t="str">
        <f>'OTHER REPORTS'!A3</f>
        <v>TUESDAY 21ST OCTOBER 2025</v>
      </c>
      <c r="C2" s="682"/>
      <c r="D2" s="682"/>
      <c r="E2" s="683"/>
      <c r="F2" s="684"/>
      <c r="G2" s="684"/>
      <c r="H2" s="685"/>
    </row>
    <row r="3" spans="1:10" s="118" customFormat="1" ht="53.25" customHeight="1">
      <c r="A3" s="120" t="s">
        <v>36</v>
      </c>
      <c r="B3" s="120" t="s">
        <v>37</v>
      </c>
      <c r="C3" s="120" t="s">
        <v>38</v>
      </c>
      <c r="D3" s="120" t="s">
        <v>39</v>
      </c>
      <c r="E3" s="689" t="s">
        <v>40</v>
      </c>
      <c r="F3" s="690"/>
      <c r="G3" s="121" t="s">
        <v>41</v>
      </c>
      <c r="H3" s="120" t="s">
        <v>42</v>
      </c>
      <c r="J3" s="119"/>
    </row>
    <row r="4" spans="1:10" ht="21">
      <c r="A4" s="110" t="s">
        <v>43</v>
      </c>
      <c r="B4" s="113">
        <f>'AVAILABILITY DASHBOARD'!D5</f>
        <v>16</v>
      </c>
      <c r="C4" s="114">
        <f>'AVAILABILITY DASHBOARD'!E5</f>
        <v>15</v>
      </c>
      <c r="D4" s="115">
        <f>B4-C4</f>
        <v>1</v>
      </c>
      <c r="E4" s="117">
        <f>'AVAILABILITY DASHBOARD'!P6</f>
        <v>90.690104166666615</v>
      </c>
      <c r="F4" s="128">
        <f>'AVAILABILITY DASHBOARD'!E8</f>
        <v>14.510416666666659</v>
      </c>
      <c r="G4" s="116">
        <v>0.9</v>
      </c>
      <c r="H4" s="126" t="str">
        <f>'OTHER REPORTS'!D32</f>
        <v>NIL</v>
      </c>
    </row>
    <row r="5" spans="1:10" ht="21">
      <c r="A5" s="111" t="s">
        <v>44</v>
      </c>
      <c r="B5" s="113">
        <f>'AVAILABILITY DASHBOARD'!D22</f>
        <v>8</v>
      </c>
      <c r="C5" s="112">
        <f>'AVAILABILITY DASHBOARD'!E22</f>
        <v>7</v>
      </c>
      <c r="D5" s="115">
        <f t="shared" ref="D5:D11" si="0">B5-C5</f>
        <v>1</v>
      </c>
      <c r="E5" s="117">
        <f>'AVAILABILITY DASHBOARD'!P23</f>
        <v>86.892361111111029</v>
      </c>
      <c r="F5" s="128">
        <f>'AVAILABILITY DASHBOARD'!E25</f>
        <v>6.9513888888888822</v>
      </c>
      <c r="G5" s="116">
        <v>0.95</v>
      </c>
      <c r="H5" s="126" t="e">
        <f>'OTHER REPORTS'!#REF!</f>
        <v>#REF!</v>
      </c>
    </row>
    <row r="6" spans="1:10" ht="21">
      <c r="A6" s="111" t="s">
        <v>45</v>
      </c>
      <c r="B6" s="113">
        <f>'AVAILABILITY DASHBOARD'!D31</f>
        <v>52</v>
      </c>
      <c r="C6" s="112">
        <f>'AVAILABILITY DASHBOARD'!E31</f>
        <v>43</v>
      </c>
      <c r="D6" s="115">
        <f t="shared" si="0"/>
        <v>9</v>
      </c>
      <c r="E6" s="245">
        <f>'AVAILABILITY DASHBOARD'!P32</f>
        <v>75.893670309653757</v>
      </c>
      <c r="F6" s="128">
        <f>'AVAILABILITY DASHBOARD'!E31</f>
        <v>43</v>
      </c>
      <c r="G6" s="116">
        <v>0.9</v>
      </c>
      <c r="H6" s="126" t="e">
        <f>'OTHER REPORTS'!#REF!</f>
        <v>#REF!</v>
      </c>
    </row>
    <row r="7" spans="1:10" ht="21">
      <c r="A7" s="111" t="s">
        <v>46</v>
      </c>
      <c r="B7" s="113">
        <v>2</v>
      </c>
      <c r="C7" s="114">
        <f>'AVAILABILITY DASHBOARD'!E93</f>
        <v>2</v>
      </c>
      <c r="D7" s="115">
        <f t="shared" si="0"/>
        <v>0</v>
      </c>
      <c r="E7" s="117">
        <f>'AVAILABILITY DASHBOARD'!P94</f>
        <v>74.479166666666515</v>
      </c>
      <c r="F7" s="128">
        <f>'AVAILABILITY DASHBOARD'!E94</f>
        <v>2.9791666666666607</v>
      </c>
      <c r="G7" s="116">
        <v>0.9</v>
      </c>
      <c r="H7" s="126" t="e">
        <f>'OTHER REPORTS'!#REF!</f>
        <v>#REF!</v>
      </c>
    </row>
    <row r="8" spans="1:10" ht="21">
      <c r="A8" s="111" t="s">
        <v>47</v>
      </c>
      <c r="B8" s="113">
        <f>'AVAILABILITY DASHBOARD'!D98</f>
        <v>19</v>
      </c>
      <c r="C8" s="112">
        <f>'AVAILABILITY DASHBOARD'!E98</f>
        <v>10</v>
      </c>
      <c r="D8" s="115">
        <f t="shared" si="0"/>
        <v>9</v>
      </c>
      <c r="E8" s="117" t="e">
        <f>'AVAILABILITY DASHBOARD'!#REF!</f>
        <v>#REF!</v>
      </c>
      <c r="F8" s="128" t="e">
        <f>'AVAILABILITY DASHBOARD'!#REF!</f>
        <v>#REF!</v>
      </c>
      <c r="G8" s="116">
        <v>0.9</v>
      </c>
      <c r="H8" s="126" t="str">
        <f>'OTHER REPORTS'!D36</f>
        <v>NIL</v>
      </c>
    </row>
    <row r="9" spans="1:10" ht="21">
      <c r="A9" s="111" t="s">
        <v>48</v>
      </c>
      <c r="B9" s="113">
        <f>'AVAILABILITY DASHBOARD'!D118</f>
        <v>21</v>
      </c>
      <c r="C9" s="112">
        <f>'AVAILABILITY DASHBOARD'!E118</f>
        <v>13</v>
      </c>
      <c r="D9" s="115">
        <f t="shared" si="0"/>
        <v>8</v>
      </c>
      <c r="E9" s="117" t="e">
        <f>'AVAILABILITY DASHBOARD'!#REF!</f>
        <v>#REF!</v>
      </c>
      <c r="F9" s="128" t="e">
        <f>'AVAILABILITY DASHBOARD'!#REF!</f>
        <v>#REF!</v>
      </c>
      <c r="G9" s="116">
        <v>0.9</v>
      </c>
      <c r="H9" s="126" t="e">
        <f>'OTHER REPORTS'!#REF!</f>
        <v>#REF!</v>
      </c>
    </row>
    <row r="10" spans="1:10" ht="21">
      <c r="A10" s="111" t="s">
        <v>49</v>
      </c>
      <c r="B10" s="113">
        <f>'AVAILABILITY DASHBOARD'!D140</f>
        <v>116</v>
      </c>
      <c r="C10" s="114">
        <f>'AVAILABILITY DASHBOARD'!E140</f>
        <v>85</v>
      </c>
      <c r="D10" s="115">
        <f t="shared" si="0"/>
        <v>31</v>
      </c>
      <c r="E10" s="117" t="e">
        <f>'AVAILABILITY DASHBOARD'!#REF!</f>
        <v>#REF!</v>
      </c>
      <c r="F10" s="128" t="e">
        <f>'AVAILABILITY DASHBOARD'!#REF!</f>
        <v>#REF!</v>
      </c>
      <c r="G10" s="116">
        <v>0.9</v>
      </c>
      <c r="H10" s="126" t="str">
        <f>'OTHER REPORTS'!D37</f>
        <v>KTT193, TTT167</v>
      </c>
    </row>
    <row r="11" spans="1:10" ht="21">
      <c r="A11" s="111" t="s">
        <v>50</v>
      </c>
      <c r="B11" s="113" t="e">
        <f>'AVAILABILITY DASHBOARD'!#REF!</f>
        <v>#REF!</v>
      </c>
      <c r="C11" s="112" t="e">
        <f>'AVAILABILITY DASHBOARD'!#REF!</f>
        <v>#REF!</v>
      </c>
      <c r="D11" s="115" t="e">
        <f t="shared" si="0"/>
        <v>#REF!</v>
      </c>
      <c r="E11" s="117" t="e">
        <f>'AVAILABILITY DASHBOARD'!#REF!</f>
        <v>#REF!</v>
      </c>
      <c r="F11" s="128" t="e">
        <f>'AVAILABILITY DASHBOARD'!#REF!</f>
        <v>#REF!</v>
      </c>
      <c r="G11" s="116">
        <v>0.9</v>
      </c>
      <c r="H11" s="126" t="str">
        <f>'OTHER REPORTS'!D38</f>
        <v>NIL</v>
      </c>
    </row>
    <row r="12" spans="1:10" ht="6.75" customHeight="1"/>
    <row r="13" spans="1:10" ht="21">
      <c r="A13" s="686" t="s">
        <v>51</v>
      </c>
      <c r="B13" s="687"/>
      <c r="C13" s="687"/>
      <c r="D13" s="688"/>
    </row>
    <row r="14" spans="1:10" ht="21">
      <c r="A14" s="122" t="s">
        <v>52</v>
      </c>
      <c r="B14" s="686" t="s">
        <v>53</v>
      </c>
      <c r="C14" s="687"/>
      <c r="D14" s="688"/>
    </row>
    <row r="15" spans="1:10" ht="21">
      <c r="A15" s="110" t="s">
        <v>54</v>
      </c>
      <c r="B15" s="679" t="str">
        <f>CONCATENATE('OTHER REPORTS'!D42," (",'OTHER REPORTS'!C42,"  )")</f>
        <v xml:space="preserve"> (O.K (AVAILABLE)  )</v>
      </c>
      <c r="C15" s="680"/>
      <c r="D15" s="681"/>
    </row>
    <row r="16" spans="1:10" ht="21">
      <c r="A16" s="110" t="s">
        <v>55</v>
      </c>
      <c r="B16" s="679" t="str">
        <f>CONCATENATE('OTHER REPORTS'!D43," (",'OTHER REPORTS'!C43,"  )")</f>
        <v xml:space="preserve"> (O.K (AVAILABLE)  )</v>
      </c>
      <c r="C16" s="680"/>
      <c r="D16" s="681"/>
    </row>
    <row r="17" spans="1:4" ht="21">
      <c r="A17" s="110" t="s">
        <v>56</v>
      </c>
      <c r="B17" s="679" t="str">
        <f>CONCATENATE('OTHER REPORTS'!D44," (",'OTHER REPORTS'!C44,"  )")</f>
        <v xml:space="preserve"> (O.K (AVAILABLE)  )</v>
      </c>
      <c r="C17" s="680"/>
      <c r="D17" s="681"/>
    </row>
    <row r="18" spans="1:4" ht="21">
      <c r="A18" s="110" t="s">
        <v>57</v>
      </c>
      <c r="B18" s="679" t="str">
        <f>CONCATENATE('OTHER REPORTS'!D45," (",'OTHER REPORTS'!C45,"  )")</f>
        <v xml:space="preserve"> (O.K (AVAILABLE)  )</v>
      </c>
      <c r="C18" s="680"/>
      <c r="D18" s="681"/>
    </row>
    <row r="19" spans="1:4" ht="21">
      <c r="A19" s="110" t="s">
        <v>58</v>
      </c>
      <c r="B19" s="679" t="str">
        <f>CONCATENATE('OTHER REPORTS'!D46," (",'OTHER REPORTS'!C46,"  )")</f>
        <v xml:space="preserve"> (O.K (AVAILABLE)  )</v>
      </c>
      <c r="C19" s="680"/>
      <c r="D19" s="681"/>
    </row>
    <row r="20" spans="1:4" ht="21">
      <c r="A20" s="110" t="s">
        <v>59</v>
      </c>
      <c r="B20" s="679" t="str">
        <f>CONCATENATE('OTHER REPORTS'!D47," (",'OTHER REPORTS'!C47,"  )")</f>
        <v xml:space="preserve"> (O.K (AVAILABLE)  )</v>
      </c>
      <c r="C20" s="680"/>
      <c r="D20" s="681"/>
    </row>
    <row r="21" spans="1:4" ht="21">
      <c r="A21" s="110" t="s">
        <v>60</v>
      </c>
      <c r="B21" s="679" t="str">
        <f>CONCATENATE('OTHER REPORTS'!D48," (",'OTHER REPORTS'!C48,"  )")</f>
        <v xml:space="preserve"> (O.K (AVAILABLE)  )</v>
      </c>
      <c r="C21" s="680"/>
      <c r="D21" s="681"/>
    </row>
    <row r="22" spans="1:4" ht="21">
      <c r="A22" s="110" t="s">
        <v>61</v>
      </c>
      <c r="B22" s="679" t="str">
        <f>CONCATENATE('OTHER REPORTS'!D49," (",'OTHER REPORTS'!C49,"  )")</f>
        <v xml:space="preserve"> (O.K (AVAILABLE)  )</v>
      </c>
      <c r="C22" s="680"/>
      <c r="D22" s="681"/>
    </row>
    <row r="23" spans="1:4" ht="21">
      <c r="A23" s="110" t="s">
        <v>62</v>
      </c>
      <c r="B23" s="679" t="str">
        <f>CONCATENATE('OTHER REPORTS'!D50," (",'OTHER REPORTS'!C50,"  )")</f>
        <v xml:space="preserve"> (O.K (AVAILABLE)  )</v>
      </c>
      <c r="C23" s="680"/>
      <c r="D23" s="681"/>
    </row>
    <row r="24" spans="1:4" ht="21">
      <c r="A24" s="110" t="s">
        <v>63</v>
      </c>
      <c r="B24" s="679" t="str">
        <f>CONCATENATE('OTHER REPORTS'!D51," (",'OTHER REPORTS'!C51,"  )")</f>
        <v xml:space="preserve"> (O.K (AVAILABLE)  )</v>
      </c>
      <c r="C24" s="680"/>
      <c r="D24" s="681"/>
    </row>
    <row r="25" spans="1:4" ht="21">
      <c r="A25" s="110" t="s">
        <v>64</v>
      </c>
      <c r="B25" s="679" t="str">
        <f>CONCATENATE('OTHER REPORTS'!D52," (",'OTHER REPORTS'!C52,"  )")</f>
        <v xml:space="preserve"> (NOT (AVAILABLE)  )</v>
      </c>
      <c r="C25" s="680"/>
      <c r="D25" s="681"/>
    </row>
    <row r="26" spans="1:4" ht="21">
      <c r="A26" s="110" t="s">
        <v>65</v>
      </c>
      <c r="B26" s="679" t="str">
        <f>CONCATENATE('OTHER REPORTS'!D53," (",'OTHER REPORTS'!C53,"  )")</f>
        <v xml:space="preserve"> (O.K (AVAILABLE)  )</v>
      </c>
      <c r="C26" s="680"/>
      <c r="D26" s="681"/>
    </row>
  </sheetData>
  <mergeCells count="18">
    <mergeCell ref="A1:H1"/>
    <mergeCell ref="B2:D2"/>
    <mergeCell ref="E2:H2"/>
    <mergeCell ref="B19:D19"/>
    <mergeCell ref="B20:D20"/>
    <mergeCell ref="A13:D13"/>
    <mergeCell ref="E3:F3"/>
    <mergeCell ref="B14:D14"/>
    <mergeCell ref="B15:D15"/>
    <mergeCell ref="B16:D16"/>
    <mergeCell ref="B17:D17"/>
    <mergeCell ref="B18:D18"/>
    <mergeCell ref="B25:D25"/>
    <mergeCell ref="B26:D26"/>
    <mergeCell ref="B21:D21"/>
    <mergeCell ref="B22:D22"/>
    <mergeCell ref="B23:D23"/>
    <mergeCell ref="B24:D24"/>
  </mergeCells>
  <conditionalFormatting sqref="B15:D26">
    <cfRule type="containsText" dxfId="54" priority="18" operator="containsText" text="OUT">
      <formula>NOT(ISERROR(SEARCH("OUT",B15)))</formula>
    </cfRule>
  </conditionalFormatting>
  <conditionalFormatting sqref="D4:D11">
    <cfRule type="cellIs" dxfId="53" priority="19" operator="greaterThan">
      <formula>0</formula>
    </cfRule>
  </conditionalFormatting>
  <conditionalFormatting sqref="E4">
    <cfRule type="iconSet" priority="17">
      <iconSet iconSet="3TrafficLights2">
        <cfvo type="percent" val="0"/>
        <cfvo type="num" val="85"/>
        <cfvo type="num" val="90"/>
      </iconSet>
    </cfRule>
  </conditionalFormatting>
  <conditionalFormatting sqref="E5">
    <cfRule type="iconSet" priority="7">
      <iconSet iconSet="3TrafficLights2">
        <cfvo type="percent" val="0"/>
        <cfvo type="num" val="85"/>
        <cfvo type="num" val="90"/>
      </iconSet>
    </cfRule>
  </conditionalFormatting>
  <conditionalFormatting sqref="E6">
    <cfRule type="iconSet" priority="1">
      <iconSet iconSet="3TrafficLights2">
        <cfvo type="percent" val="0"/>
        <cfvo type="num" val="85"/>
        <cfvo type="num" val="90"/>
      </iconSet>
    </cfRule>
  </conditionalFormatting>
  <conditionalFormatting sqref="E7">
    <cfRule type="iconSet" priority="6">
      <iconSet iconSet="3TrafficLights2">
        <cfvo type="percent" val="0"/>
        <cfvo type="num" val="90"/>
        <cfvo type="num" val="95"/>
      </iconSet>
    </cfRule>
  </conditionalFormatting>
  <conditionalFormatting sqref="E8">
    <cfRule type="iconSet" priority="5">
      <iconSet iconSet="3TrafficLights2">
        <cfvo type="percent" val="0"/>
        <cfvo type="num" val="85"/>
        <cfvo type="num" val="90"/>
      </iconSet>
    </cfRule>
  </conditionalFormatting>
  <conditionalFormatting sqref="E9:E10">
    <cfRule type="iconSet" priority="4">
      <iconSet iconSet="3TrafficLights2">
        <cfvo type="percent" val="0"/>
        <cfvo type="num" val="85"/>
        <cfvo type="num" val="90"/>
      </iconSet>
    </cfRule>
  </conditionalFormatting>
  <conditionalFormatting sqref="E11">
    <cfRule type="iconSet" priority="2">
      <iconSet iconSet="3TrafficLights2">
        <cfvo type="percent" val="0"/>
        <cfvo type="num" val="85"/>
        <cfvo type="num" val="90"/>
      </iconSet>
    </cfRule>
  </conditionalFormatting>
  <conditionalFormatting sqref="H4:H11">
    <cfRule type="cellIs" dxfId="52" priority="8" operator="equal">
      <formula>0</formula>
    </cfRule>
  </conditionalFormatting>
  <pageMargins left="0.7" right="0.7" top="0.75" bottom="0.75" header="0.3" footer="0.3"/>
  <pageSetup scale="67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zoomScale="80" zoomScaleNormal="80" workbookViewId="0">
      <selection activeCell="I14" sqref="I14"/>
    </sheetView>
  </sheetViews>
  <sheetFormatPr defaultColWidth="9.28515625" defaultRowHeight="15"/>
  <cols>
    <col min="1" max="1" width="19.42578125" style="294" bestFit="1" customWidth="1"/>
    <col min="2" max="2" width="14.42578125" style="294" bestFit="1" customWidth="1"/>
    <col min="3" max="3" width="17.42578125" style="294" bestFit="1" customWidth="1"/>
    <col min="4" max="4" width="19.42578125" style="294" bestFit="1" customWidth="1"/>
    <col min="5" max="5" width="11.7109375" style="294" customWidth="1"/>
    <col min="6" max="6" width="5.28515625" style="294" customWidth="1"/>
    <col min="7" max="7" width="12.42578125" style="294" bestFit="1" customWidth="1"/>
    <col min="8" max="8" width="12.42578125" style="294" customWidth="1"/>
    <col min="9" max="9" width="24.28515625" style="294" customWidth="1"/>
    <col min="10" max="11" width="17.28515625" style="294" bestFit="1" customWidth="1"/>
    <col min="12" max="16384" width="9.28515625" style="294"/>
  </cols>
  <sheetData>
    <row r="1" spans="1:11" ht="23.25" customHeight="1">
      <c r="A1" s="694" t="s">
        <v>66</v>
      </c>
      <c r="B1" s="695"/>
      <c r="C1" s="695"/>
      <c r="D1" s="695"/>
      <c r="E1" s="695"/>
      <c r="F1" s="695"/>
      <c r="G1" s="695"/>
      <c r="H1" s="695"/>
      <c r="I1" s="695"/>
      <c r="J1" s="695"/>
      <c r="K1" s="696"/>
    </row>
    <row r="2" spans="1:11" ht="18">
      <c r="A2" s="438" t="s">
        <v>35</v>
      </c>
      <c r="B2" s="697" t="str">
        <f>'OTHER REPORTS'!A3</f>
        <v>TUESDAY 21ST OCTOBER 2025</v>
      </c>
      <c r="C2" s="697"/>
      <c r="D2" s="697"/>
      <c r="E2" s="697"/>
      <c r="F2" s="697"/>
      <c r="G2" s="697"/>
      <c r="H2" s="697"/>
      <c r="I2" s="697"/>
      <c r="J2" s="697"/>
      <c r="K2" s="698"/>
    </row>
    <row r="3" spans="1:11" ht="54">
      <c r="A3" s="439" t="s">
        <v>36</v>
      </c>
      <c r="B3" s="435" t="s">
        <v>67</v>
      </c>
      <c r="C3" s="436" t="s">
        <v>68</v>
      </c>
      <c r="D3" s="435" t="s">
        <v>69</v>
      </c>
      <c r="E3" s="704" t="s">
        <v>40</v>
      </c>
      <c r="F3" s="704"/>
      <c r="G3" s="436" t="s">
        <v>41</v>
      </c>
      <c r="H3" s="615" t="s">
        <v>575</v>
      </c>
      <c r="I3" s="699" t="s">
        <v>70</v>
      </c>
      <c r="J3" s="699"/>
      <c r="K3" s="700"/>
    </row>
    <row r="4" spans="1:11" ht="21">
      <c r="A4" s="440" t="s">
        <v>9</v>
      </c>
      <c r="B4" s="295">
        <f>'AVAILABILITY DASHBOARD'!D5</f>
        <v>16</v>
      </c>
      <c r="C4" s="295">
        <f>'AVAILABILITY DASHBOARD'!E5</f>
        <v>15</v>
      </c>
      <c r="D4" s="295">
        <f>B4-C4</f>
        <v>1</v>
      </c>
      <c r="E4" s="296">
        <f>'AVAILABILITY DASHBOARD'!P6</f>
        <v>90.690104166666615</v>
      </c>
      <c r="F4" s="295">
        <f>C4</f>
        <v>15</v>
      </c>
      <c r="G4" s="297">
        <v>0.9</v>
      </c>
      <c r="H4" s="616">
        <f>'AVAILABILITY DASHBOARD'!G22</f>
        <v>89.375</v>
      </c>
      <c r="I4" s="421" t="s">
        <v>71</v>
      </c>
      <c r="J4" s="421" t="s">
        <v>72</v>
      </c>
      <c r="K4" s="441" t="s">
        <v>73</v>
      </c>
    </row>
    <row r="5" spans="1:11" ht="21">
      <c r="A5" s="440" t="s">
        <v>11</v>
      </c>
      <c r="B5" s="295">
        <f>'AVAILABILITY DASHBOARD'!D22</f>
        <v>8</v>
      </c>
      <c r="C5" s="295">
        <f>'AVAILABILITY DASHBOARD'!E22</f>
        <v>7</v>
      </c>
      <c r="D5" s="295">
        <f t="shared" ref="D5:D11" si="0">B5-C5</f>
        <v>1</v>
      </c>
      <c r="E5" s="296">
        <f>'AVAILABILITY DASHBOARD'!P23</f>
        <v>86.892361111111029</v>
      </c>
      <c r="F5" s="295">
        <f t="shared" ref="F5:F11" si="1">C5</f>
        <v>7</v>
      </c>
      <c r="G5" s="297">
        <v>0.9</v>
      </c>
      <c r="H5" s="616">
        <f>'AVAILABILITY DASHBOARD'!G31</f>
        <v>62.916666666666664</v>
      </c>
      <c r="I5" s="427" t="s">
        <v>9</v>
      </c>
      <c r="J5" s="449" t="str">
        <f>CONCATENATE('OTHER REPORTS'!C32)</f>
        <v>STS1804</v>
      </c>
      <c r="K5" s="450" t="str">
        <f>CONCATENATE('OTHER REPORTS'!D32)</f>
        <v>NIL</v>
      </c>
    </row>
    <row r="6" spans="1:11" ht="21">
      <c r="A6" s="440" t="s">
        <v>13</v>
      </c>
      <c r="B6" s="295">
        <f>'AVAILABILITY DASHBOARD'!D31</f>
        <v>52</v>
      </c>
      <c r="C6" s="295">
        <f>'AVAILABILITY DASHBOARD'!E31</f>
        <v>43</v>
      </c>
      <c r="D6" s="295">
        <f t="shared" si="0"/>
        <v>9</v>
      </c>
      <c r="E6" s="296">
        <f>'AVAILABILITY DASHBOARD'!P32</f>
        <v>75.893670309653757</v>
      </c>
      <c r="F6" s="295">
        <f t="shared" si="1"/>
        <v>43</v>
      </c>
      <c r="G6" s="297">
        <v>0.9</v>
      </c>
      <c r="H6" s="616">
        <f>'AVAILABILITY DASHBOARD'!G93</f>
        <v>942.29166666666674</v>
      </c>
      <c r="I6" s="427" t="s">
        <v>11</v>
      </c>
      <c r="J6" s="449" t="str">
        <f>CONCATENATE('OTHER REPORTS'!C33)</f>
        <v>NIL</v>
      </c>
      <c r="K6" s="449" t="str">
        <f>CONCATENATE('OTHER REPORTS'!D33)</f>
        <v>NIL</v>
      </c>
    </row>
    <row r="7" spans="1:11" ht="21">
      <c r="A7" s="440" t="s">
        <v>74</v>
      </c>
      <c r="B7" s="295">
        <f>'AVAILABILITY DASHBOARD'!D93</f>
        <v>4</v>
      </c>
      <c r="C7" s="295">
        <f>'AVAILABILITY DASHBOARD'!E93</f>
        <v>2</v>
      </c>
      <c r="D7" s="295">
        <f t="shared" si="0"/>
        <v>2</v>
      </c>
      <c r="E7" s="296">
        <f>'AVAILABILITY DASHBOARD'!P94</f>
        <v>74.479166666666515</v>
      </c>
      <c r="F7" s="295">
        <f t="shared" si="1"/>
        <v>2</v>
      </c>
      <c r="G7" s="297">
        <v>0.9</v>
      </c>
      <c r="H7" s="616">
        <f>'AVAILABILITY DASHBOARD'!G98</f>
        <v>61.25</v>
      </c>
      <c r="I7" s="427" t="s">
        <v>13</v>
      </c>
      <c r="J7" s="449" t="str">
        <f>CONCATENATE('OTHER REPORTS'!C34)</f>
        <v>RTG211</v>
      </c>
      <c r="K7" s="449" t="str">
        <f>CONCATENATE('OTHER REPORTS'!D34)</f>
        <v>RTG217</v>
      </c>
    </row>
    <row r="8" spans="1:11" ht="21">
      <c r="A8" s="440" t="s">
        <v>47</v>
      </c>
      <c r="B8" s="295">
        <v>19</v>
      </c>
      <c r="C8" s="295">
        <f>'AVAILABILITY DASHBOARD'!E98</f>
        <v>10</v>
      </c>
      <c r="D8" s="295">
        <f t="shared" si="0"/>
        <v>9</v>
      </c>
      <c r="E8" s="296">
        <f>'AVAILABILITY DASHBOARD'!P119</f>
        <v>66.45171957671937</v>
      </c>
      <c r="F8" s="295">
        <f t="shared" si="1"/>
        <v>10</v>
      </c>
      <c r="G8" s="297">
        <v>0.9</v>
      </c>
      <c r="H8" s="616">
        <f>'AVAILABILITY DASHBOARD'!G118</f>
        <v>578.95833333333337</v>
      </c>
      <c r="I8" s="427" t="s">
        <v>74</v>
      </c>
      <c r="J8" s="449" t="str">
        <f>CONCATENATE('OTHER REPORTS'!C35)</f>
        <v>NIL</v>
      </c>
      <c r="K8" s="449" t="str">
        <f>CONCATENATE('OTHER REPORTS'!D35)</f>
        <v>NIL</v>
      </c>
    </row>
    <row r="9" spans="1:11" ht="21">
      <c r="A9" s="440" t="s">
        <v>23</v>
      </c>
      <c r="B9" s="295">
        <v>21</v>
      </c>
      <c r="C9" s="295">
        <f>'AVAILABILITY DASHBOARD'!E118</f>
        <v>13</v>
      </c>
      <c r="D9" s="295">
        <f t="shared" si="0"/>
        <v>8</v>
      </c>
      <c r="E9" s="296">
        <f>'AVAILABILITY DASHBOARD'!P99</f>
        <v>49.214181286549376</v>
      </c>
      <c r="F9" s="295">
        <f t="shared" si="1"/>
        <v>13</v>
      </c>
      <c r="G9" s="297">
        <v>0.9</v>
      </c>
      <c r="H9" s="616">
        <f>'AVAILABILITY DASHBOARD'!G140</f>
        <v>422.70833333333331</v>
      </c>
      <c r="I9" s="427" t="s">
        <v>75</v>
      </c>
      <c r="J9" s="449" t="str">
        <f>CONCATENATE('OTHER REPORTS'!C36)</f>
        <v>HK39</v>
      </c>
      <c r="K9" s="450" t="str">
        <f>CONCATENATE('OTHER REPORTS'!D36)</f>
        <v>NIL</v>
      </c>
    </row>
    <row r="10" spans="1:11" ht="21">
      <c r="A10" s="440" t="s">
        <v>76</v>
      </c>
      <c r="B10" s="295">
        <v>116</v>
      </c>
      <c r="C10" s="295">
        <f>'AVAILABILITY DASHBOARD'!E140</f>
        <v>85</v>
      </c>
      <c r="D10" s="295">
        <f t="shared" si="0"/>
        <v>31</v>
      </c>
      <c r="E10" s="296">
        <f>'AVAILABILITY DASHBOARD'!P141</f>
        <v>73.51532567049793</v>
      </c>
      <c r="F10" s="295">
        <f t="shared" si="1"/>
        <v>85</v>
      </c>
      <c r="G10" s="297">
        <v>0.9</v>
      </c>
      <c r="H10" s="616">
        <f>'AVAILABILITY DASHBOARD'!G262</f>
        <v>1843.3333333333333</v>
      </c>
      <c r="I10" s="427" t="s">
        <v>76</v>
      </c>
      <c r="J10" s="449" t="str">
        <f>CONCATENATE('OTHER REPORTS'!C37)</f>
        <v>KTT221</v>
      </c>
      <c r="K10" s="450" t="str">
        <f>CONCATENATE('OTHER REPORTS'!D37)</f>
        <v>KTT193, TTT167</v>
      </c>
    </row>
    <row r="11" spans="1:11" ht="21">
      <c r="A11" s="440" t="s">
        <v>50</v>
      </c>
      <c r="B11" s="295">
        <f>'AVAILABILITY DASHBOARD'!D263</f>
        <v>158</v>
      </c>
      <c r="C11" s="296">
        <f>'AVAILABILITY DASHBOARD'!E263</f>
        <v>131</v>
      </c>
      <c r="D11" s="295">
        <f t="shared" si="0"/>
        <v>27</v>
      </c>
      <c r="E11" s="296">
        <f>'AVAILABILITY DASHBOARD'!L263</f>
        <v>82.911392405063282</v>
      </c>
      <c r="F11" s="295">
        <f t="shared" si="1"/>
        <v>131</v>
      </c>
      <c r="G11" s="297">
        <v>0.9</v>
      </c>
      <c r="H11" s="616"/>
      <c r="I11" s="427" t="s">
        <v>77</v>
      </c>
      <c r="J11" s="449" t="str">
        <f>CONCATENATE('OTHER REPORTS'!C38)</f>
        <v>HTR263</v>
      </c>
      <c r="K11" s="450" t="str">
        <f>CONCATENATE('OTHER REPORTS'!D38)</f>
        <v>NIL</v>
      </c>
    </row>
    <row r="12" spans="1:11" ht="21">
      <c r="A12" s="442"/>
      <c r="B12" s="433"/>
      <c r="C12" s="432"/>
      <c r="D12" s="433"/>
      <c r="E12" s="432"/>
      <c r="F12" s="433"/>
      <c r="G12" s="434"/>
      <c r="H12" s="434"/>
      <c r="I12" s="427" t="s">
        <v>78</v>
      </c>
      <c r="J12" s="449" t="str">
        <f>CONCATENATE('OTHER REPORTS'!C39)</f>
        <v>OHS179</v>
      </c>
      <c r="K12" s="450" t="str">
        <f>CONCATENATE('OTHER REPORTS'!D39)</f>
        <v>NIL</v>
      </c>
    </row>
    <row r="13" spans="1:11" ht="21">
      <c r="A13" s="442"/>
      <c r="B13" s="433"/>
      <c r="C13" s="432"/>
      <c r="D13" s="433"/>
      <c r="E13" s="432"/>
      <c r="F13" s="433"/>
      <c r="G13" s="434"/>
      <c r="H13" s="434"/>
      <c r="I13" s="427" t="s">
        <v>79</v>
      </c>
      <c r="J13" s="449" t="str">
        <f>CONCATENATE('OTHER REPORTS'!C40)</f>
        <v>NIL</v>
      </c>
      <c r="K13" s="450" t="str">
        <f>CONCATENATE('OTHER REPORTS'!D40)</f>
        <v>NIL</v>
      </c>
    </row>
    <row r="14" spans="1:11" ht="21">
      <c r="A14" s="442"/>
      <c r="B14" s="433"/>
      <c r="C14" s="432"/>
      <c r="D14" s="433"/>
      <c r="E14" s="432"/>
      <c r="F14" s="433"/>
      <c r="G14" s="434"/>
      <c r="H14" s="434"/>
      <c r="I14" s="429" t="s">
        <v>80</v>
      </c>
      <c r="J14" s="449" t="str">
        <f>CONCATENATE('OTHER REPORTS'!C41)</f>
        <v>NIL</v>
      </c>
      <c r="K14" s="450" t="str">
        <f>CONCATENATE('OTHER REPORTS'!D41)</f>
        <v>NIL</v>
      </c>
    </row>
    <row r="15" spans="1:11" ht="18">
      <c r="A15" s="442"/>
      <c r="B15" s="433"/>
      <c r="C15" s="432"/>
      <c r="D15" s="433"/>
      <c r="E15" s="432"/>
      <c r="F15" s="433"/>
      <c r="G15" s="434"/>
      <c r="H15" s="434"/>
    </row>
    <row r="16" spans="1:11" ht="20.25">
      <c r="A16" s="705" t="s">
        <v>51</v>
      </c>
      <c r="B16" s="706"/>
      <c r="C16" s="706"/>
      <c r="D16" s="706"/>
      <c r="E16" s="437"/>
      <c r="F16" s="437"/>
      <c r="G16" s="437"/>
      <c r="H16" s="437"/>
      <c r="I16" s="437"/>
      <c r="K16" s="443"/>
    </row>
    <row r="17" spans="1:11" ht="18">
      <c r="A17" s="444" t="s">
        <v>81</v>
      </c>
      <c r="B17" s="707" t="s">
        <v>82</v>
      </c>
      <c r="C17" s="707"/>
      <c r="D17" s="707"/>
      <c r="E17" s="437"/>
      <c r="F17" s="437"/>
      <c r="G17" s="437"/>
      <c r="H17" s="437"/>
      <c r="I17" s="437"/>
      <c r="K17" s="443"/>
    </row>
    <row r="18" spans="1:11" ht="18">
      <c r="A18" s="470" t="s">
        <v>83</v>
      </c>
      <c r="B18" s="691" t="str">
        <f>'OTHER REPORTS'!C42</f>
        <v>O.K (AVAILABLE)</v>
      </c>
      <c r="C18" s="692"/>
      <c r="D18" s="693"/>
      <c r="E18" s="437"/>
      <c r="F18" s="437"/>
      <c r="G18" s="437"/>
      <c r="H18" s="437"/>
      <c r="I18" s="437"/>
      <c r="K18" s="443"/>
    </row>
    <row r="19" spans="1:11" ht="18">
      <c r="A19" s="470" t="s">
        <v>84</v>
      </c>
      <c r="B19" s="691" t="str">
        <f>'OTHER REPORTS'!C43</f>
        <v>O.K (AVAILABLE)</v>
      </c>
      <c r="C19" s="692"/>
      <c r="D19" s="693"/>
      <c r="E19" s="437"/>
      <c r="F19" s="437"/>
      <c r="G19" s="437"/>
      <c r="H19" s="437"/>
      <c r="I19" s="437"/>
      <c r="K19" s="443"/>
    </row>
    <row r="20" spans="1:11" ht="18">
      <c r="A20" s="470" t="s">
        <v>85</v>
      </c>
      <c r="B20" s="691" t="str">
        <f>'OTHER REPORTS'!C44</f>
        <v>O.K (AVAILABLE)</v>
      </c>
      <c r="C20" s="692"/>
      <c r="D20" s="693"/>
      <c r="E20" s="437"/>
      <c r="F20" s="437"/>
      <c r="G20" s="437"/>
      <c r="H20" s="437"/>
      <c r="I20" s="437"/>
      <c r="K20" s="443"/>
    </row>
    <row r="21" spans="1:11" ht="18">
      <c r="A21" s="470" t="s">
        <v>86</v>
      </c>
      <c r="B21" s="691" t="str">
        <f>'OTHER REPORTS'!C45</f>
        <v>O.K (AVAILABLE)</v>
      </c>
      <c r="C21" s="692"/>
      <c r="D21" s="693"/>
      <c r="E21" s="437"/>
      <c r="F21" s="437"/>
      <c r="G21" s="437"/>
      <c r="H21" s="437"/>
      <c r="I21" s="437"/>
      <c r="K21" s="443"/>
    </row>
    <row r="22" spans="1:11" ht="18">
      <c r="A22" s="440" t="s">
        <v>87</v>
      </c>
      <c r="B22" s="691" t="str">
        <f>'OTHER REPORTS'!C46</f>
        <v>O.K (AVAILABLE)</v>
      </c>
      <c r="C22" s="692"/>
      <c r="D22" s="693"/>
      <c r="E22" s="437"/>
      <c r="F22" s="437"/>
      <c r="G22" s="437"/>
      <c r="H22" s="437"/>
      <c r="I22" s="437"/>
      <c r="K22" s="443"/>
    </row>
    <row r="23" spans="1:11" ht="18">
      <c r="A23" s="440" t="s">
        <v>88</v>
      </c>
      <c r="B23" s="691" t="str">
        <f>'OTHER REPORTS'!C47</f>
        <v>O.K (AVAILABLE)</v>
      </c>
      <c r="C23" s="692"/>
      <c r="D23" s="693"/>
      <c r="E23" s="437"/>
      <c r="F23" s="437"/>
      <c r="G23" s="437"/>
      <c r="H23" s="437"/>
      <c r="I23" s="437"/>
      <c r="K23" s="443"/>
    </row>
    <row r="24" spans="1:11" ht="18">
      <c r="A24" s="440" t="s">
        <v>89</v>
      </c>
      <c r="B24" s="691" t="str">
        <f>'OTHER REPORTS'!C48</f>
        <v>O.K (AVAILABLE)</v>
      </c>
      <c r="C24" s="692"/>
      <c r="D24" s="693"/>
      <c r="E24" s="437"/>
      <c r="F24" s="437"/>
      <c r="G24" s="437"/>
      <c r="H24" s="437"/>
      <c r="I24" s="437"/>
      <c r="K24" s="443"/>
    </row>
    <row r="25" spans="1:11" ht="18">
      <c r="A25" s="440" t="s">
        <v>90</v>
      </c>
      <c r="B25" s="691" t="str">
        <f>'OTHER REPORTS'!C49</f>
        <v>O.K (AVAILABLE)</v>
      </c>
      <c r="C25" s="692"/>
      <c r="D25" s="693"/>
      <c r="E25" s="437"/>
      <c r="F25" s="437"/>
      <c r="G25" s="437"/>
      <c r="H25" s="437"/>
      <c r="I25" s="437"/>
      <c r="K25" s="443"/>
    </row>
    <row r="26" spans="1:11" ht="18">
      <c r="A26" s="440" t="s">
        <v>91</v>
      </c>
      <c r="B26" s="691" t="str">
        <f>'OTHER REPORTS'!C50</f>
        <v>O.K (AVAILABLE)</v>
      </c>
      <c r="C26" s="692"/>
      <c r="D26" s="693"/>
      <c r="E26" s="437"/>
      <c r="F26" s="437"/>
      <c r="G26" s="437"/>
      <c r="H26" s="437"/>
      <c r="I26" s="437"/>
      <c r="K26" s="443"/>
    </row>
    <row r="27" spans="1:11" ht="18">
      <c r="A27" s="440" t="s">
        <v>92</v>
      </c>
      <c r="B27" s="691" t="str">
        <f>'OTHER REPORTS'!C51</f>
        <v>O.K (AVAILABLE)</v>
      </c>
      <c r="C27" s="692"/>
      <c r="D27" s="693"/>
      <c r="E27" s="437"/>
      <c r="F27" s="437"/>
      <c r="G27" s="437"/>
      <c r="H27" s="437"/>
      <c r="I27" s="437"/>
      <c r="K27" s="443"/>
    </row>
    <row r="28" spans="1:11" ht="18">
      <c r="A28" s="440" t="s">
        <v>93</v>
      </c>
      <c r="B28" s="691" t="str">
        <f>'OTHER REPORTS'!C52</f>
        <v>NOT (AVAILABLE)</v>
      </c>
      <c r="C28" s="692"/>
      <c r="D28" s="693"/>
      <c r="E28" s="437"/>
      <c r="F28" s="437"/>
      <c r="G28" s="437"/>
      <c r="H28" s="437"/>
      <c r="I28" s="437"/>
      <c r="K28" s="443"/>
    </row>
    <row r="29" spans="1:11" ht="18">
      <c r="A29" s="440" t="s">
        <v>94</v>
      </c>
      <c r="B29" s="691" t="str">
        <f>'OTHER REPORTS'!C53</f>
        <v>O.K (AVAILABLE)</v>
      </c>
      <c r="C29" s="692"/>
      <c r="D29" s="693"/>
      <c r="E29" s="437"/>
      <c r="F29" s="437"/>
      <c r="G29" s="437"/>
      <c r="H29" s="437"/>
      <c r="I29" s="437"/>
      <c r="K29" s="443"/>
    </row>
    <row r="30" spans="1:11" ht="18.75" thickBot="1">
      <c r="A30" s="445" t="s">
        <v>95</v>
      </c>
      <c r="B30" s="701" t="str">
        <f>'OTHER REPORTS'!C54</f>
        <v>O.K (AVAILABLE)</v>
      </c>
      <c r="C30" s="702"/>
      <c r="D30" s="703"/>
      <c r="E30" s="446"/>
      <c r="F30" s="446"/>
      <c r="G30" s="446"/>
      <c r="H30" s="446"/>
      <c r="I30" s="446"/>
      <c r="J30" s="447"/>
      <c r="K30" s="448"/>
    </row>
  </sheetData>
  <sheetProtection algorithmName="SHA-512" hashValue="0H2Qnj6c9SMtIe+y+QnQ+FZZkoLnwoxpMrmMRoxsrBsoEUniKLAk6s/9p69ve1W6jEgIxzEhJEu7hS3ufBWXjQ==" saltValue="WYToxpGgWn/1r8/VB3ZQLg==" spinCount="100000" sheet="1" selectLockedCells="1"/>
  <mergeCells count="19">
    <mergeCell ref="B23:D23"/>
    <mergeCell ref="E3:F3"/>
    <mergeCell ref="A16:D16"/>
    <mergeCell ref="B17:D17"/>
    <mergeCell ref="B18:D18"/>
    <mergeCell ref="B19:D19"/>
    <mergeCell ref="B30:D30"/>
    <mergeCell ref="B24:D24"/>
    <mergeCell ref="B25:D25"/>
    <mergeCell ref="B26:D26"/>
    <mergeCell ref="B27:D27"/>
    <mergeCell ref="B28:D28"/>
    <mergeCell ref="B29:D29"/>
    <mergeCell ref="B20:D20"/>
    <mergeCell ref="B21:D21"/>
    <mergeCell ref="B22:D22"/>
    <mergeCell ref="A1:K1"/>
    <mergeCell ref="B2:K2"/>
    <mergeCell ref="I3:K3"/>
  </mergeCells>
  <conditionalFormatting sqref="E4:E15">
    <cfRule type="iconSet" priority="794">
      <iconSet>
        <cfvo type="percent" val="0"/>
        <cfvo type="num" val="85"/>
        <cfvo type="num" val="90"/>
      </iconSet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showGridLines="0" zoomScale="51" zoomScaleNormal="51" workbookViewId="0">
      <selection activeCell="K15" sqref="K15"/>
    </sheetView>
  </sheetViews>
  <sheetFormatPr defaultColWidth="9.28515625" defaultRowHeight="25.5"/>
  <cols>
    <col min="1" max="1" width="3.28515625" style="459" customWidth="1"/>
    <col min="2" max="2" width="6.7109375" style="50" customWidth="1"/>
    <col min="3" max="3" width="78.7109375" style="50" customWidth="1"/>
    <col min="4" max="4" width="20.42578125" style="74" customWidth="1"/>
    <col min="5" max="5" width="28" style="51" customWidth="1"/>
    <col min="6" max="6" width="28.42578125" style="52" customWidth="1"/>
    <col min="7" max="7" width="0.28515625" style="50" customWidth="1"/>
    <col min="8" max="8" width="6.28515625" style="50" customWidth="1"/>
    <col min="9" max="9" width="17" style="50" customWidth="1"/>
    <col min="10" max="10" width="6" style="50" customWidth="1"/>
    <col min="11" max="11" width="74.7109375" style="50" bestFit="1" customWidth="1"/>
    <col min="12" max="12" width="21.42578125" style="50" customWidth="1"/>
    <col min="13" max="13" width="22" style="50" bestFit="1" customWidth="1"/>
    <col min="14" max="14" width="22" style="50" customWidth="1"/>
    <col min="15" max="15" width="6.42578125" style="50" customWidth="1"/>
    <col min="16" max="16" width="6.7109375" style="50" hidden="1" customWidth="1"/>
    <col min="17" max="16384" width="9.28515625" style="50"/>
  </cols>
  <sheetData>
    <row r="1" spans="1:16" ht="41.25" customHeight="1">
      <c r="B1" s="708" t="s">
        <v>96</v>
      </c>
      <c r="C1" s="709"/>
      <c r="D1" s="709"/>
      <c r="E1" s="709"/>
      <c r="F1" s="709"/>
      <c r="G1" s="709"/>
      <c r="H1" s="710"/>
      <c r="J1" s="708" t="s">
        <v>97</v>
      </c>
      <c r="K1" s="709"/>
      <c r="L1" s="709"/>
      <c r="M1" s="709"/>
      <c r="N1" s="709"/>
      <c r="O1" s="710"/>
      <c r="P1" s="451"/>
    </row>
    <row r="2" spans="1:16" ht="31.5" customHeight="1">
      <c r="A2" s="460"/>
      <c r="B2" s="712">
        <f>G4</f>
        <v>92.797599046338945</v>
      </c>
      <c r="C2" s="712"/>
      <c r="D2" s="712"/>
      <c r="E2" s="713" t="s">
        <v>0</v>
      </c>
      <c r="F2" s="713"/>
      <c r="G2" s="452"/>
      <c r="H2" s="714">
        <f>G4</f>
        <v>92.797599046338945</v>
      </c>
      <c r="I2" s="453"/>
      <c r="J2" s="717">
        <f>P4</f>
        <v>74.418523787765992</v>
      </c>
      <c r="K2" s="717"/>
      <c r="L2" s="717"/>
      <c r="M2" s="713" t="s">
        <v>0</v>
      </c>
      <c r="N2" s="713"/>
      <c r="O2" s="715">
        <f>P4</f>
        <v>74.418523787765992</v>
      </c>
    </row>
    <row r="3" spans="1:16" ht="32.25" customHeight="1">
      <c r="A3" s="460"/>
      <c r="B3" s="712">
        <f>G4</f>
        <v>92.797599046338945</v>
      </c>
      <c r="C3" s="211" t="str">
        <f>CONCATENATE("DATE:","    ",'OTHER REPORTS'!A3)</f>
        <v>DATE:    TUESDAY 21ST OCTOBER 2025</v>
      </c>
      <c r="D3" s="212"/>
      <c r="E3" s="213" t="s">
        <v>6</v>
      </c>
      <c r="F3" s="213" t="s">
        <v>7</v>
      </c>
      <c r="G3" s="452"/>
      <c r="H3" s="714"/>
      <c r="I3" s="453"/>
      <c r="J3" s="718">
        <f>P4</f>
        <v>74.418523787765992</v>
      </c>
      <c r="K3" s="211" t="str">
        <f>CONCATENATE("DATE:","    ",'OTHER REPORTS'!A3)</f>
        <v>DATE:    TUESDAY 21ST OCTOBER 2025</v>
      </c>
      <c r="L3" s="212"/>
      <c r="M3" s="213" t="s">
        <v>6</v>
      </c>
      <c r="N3" s="213" t="s">
        <v>7</v>
      </c>
      <c r="O3" s="715"/>
    </row>
    <row r="4" spans="1:16" ht="32.25" customHeight="1">
      <c r="A4" s="719"/>
      <c r="B4" s="712"/>
      <c r="C4" s="211" t="s">
        <v>8</v>
      </c>
      <c r="D4" s="212" t="s">
        <v>9</v>
      </c>
      <c r="E4" s="214">
        <v>90</v>
      </c>
      <c r="F4" s="95">
        <f>'AVAILABILITY DASHBOARD'!P6</f>
        <v>90.690104166666615</v>
      </c>
      <c r="G4" s="454">
        <f>(F4+F5+F6+F7+F8)/500*100</f>
        <v>92.797599046338945</v>
      </c>
      <c r="H4" s="714"/>
      <c r="I4" s="453"/>
      <c r="J4" s="718"/>
      <c r="K4" s="211" t="s">
        <v>20</v>
      </c>
      <c r="L4" s="212" t="s">
        <v>21</v>
      </c>
      <c r="M4" s="214">
        <v>90</v>
      </c>
      <c r="N4" s="95">
        <f>'AVAILABILITY DASHBOARD'!P99</f>
        <v>49.214181286549376</v>
      </c>
      <c r="O4" s="715"/>
      <c r="P4" s="278">
        <f>(N4+N5+N6+N7+N8)/500*100</f>
        <v>74.418523787765992</v>
      </c>
    </row>
    <row r="5" spans="1:16" ht="32.25" customHeight="1">
      <c r="A5" s="719"/>
      <c r="B5" s="712"/>
      <c r="C5" s="211" t="s">
        <v>10</v>
      </c>
      <c r="D5" s="212" t="s">
        <v>11</v>
      </c>
      <c r="E5" s="214">
        <v>90</v>
      </c>
      <c r="F5" s="95">
        <f>'AVAILABILITY DASHBOARD'!P23</f>
        <v>86.892361111111029</v>
      </c>
      <c r="G5" s="452"/>
      <c r="H5" s="714"/>
      <c r="I5" s="455"/>
      <c r="J5" s="718"/>
      <c r="K5" s="211" t="s">
        <v>22</v>
      </c>
      <c r="L5" s="212" t="s">
        <v>23</v>
      </c>
      <c r="M5" s="214">
        <v>90</v>
      </c>
      <c r="N5" s="95">
        <f>'AVAILABILITY DASHBOARD'!P119</f>
        <v>66.45171957671937</v>
      </c>
      <c r="O5" s="715"/>
    </row>
    <row r="6" spans="1:16" ht="32.25" customHeight="1">
      <c r="A6" s="719"/>
      <c r="B6" s="712"/>
      <c r="C6" s="211" t="s">
        <v>14</v>
      </c>
      <c r="D6" s="212" t="s">
        <v>15</v>
      </c>
      <c r="E6" s="214">
        <v>90</v>
      </c>
      <c r="F6" s="95">
        <f>'AVAILABILITY DASHBOARD'!H266</f>
        <v>93.548387096774192</v>
      </c>
      <c r="G6" s="452"/>
      <c r="H6" s="714"/>
      <c r="I6" s="456"/>
      <c r="J6" s="718"/>
      <c r="K6" s="211" t="s">
        <v>28</v>
      </c>
      <c r="L6" s="212" t="s">
        <v>29</v>
      </c>
      <c r="M6" s="214">
        <v>90</v>
      </c>
      <c r="N6" s="95">
        <f>'AVAILABILITY DASHBOARD'!P141</f>
        <v>73.51532567049793</v>
      </c>
      <c r="O6" s="715"/>
    </row>
    <row r="7" spans="1:16" ht="32.25" customHeight="1">
      <c r="A7" s="719"/>
      <c r="B7" s="712"/>
      <c r="C7" s="211" t="s">
        <v>16</v>
      </c>
      <c r="D7" s="212" t="s">
        <v>17</v>
      </c>
      <c r="E7" s="214">
        <v>90</v>
      </c>
      <c r="F7" s="95">
        <f>'AVAILABILITY DASHBOARD'!H270</f>
        <v>100</v>
      </c>
      <c r="G7" s="452"/>
      <c r="H7" s="714"/>
      <c r="I7" s="456"/>
      <c r="J7" s="718"/>
      <c r="K7" s="211" t="s">
        <v>98</v>
      </c>
      <c r="L7" s="212" t="s">
        <v>31</v>
      </c>
      <c r="M7" s="214">
        <v>90</v>
      </c>
      <c r="N7" s="95">
        <f>'AVAILABILITY DASHBOARD'!L263</f>
        <v>82.911392405063282</v>
      </c>
      <c r="O7" s="715"/>
    </row>
    <row r="8" spans="1:16" ht="32.25" customHeight="1">
      <c r="A8" s="719"/>
      <c r="B8" s="712"/>
      <c r="C8" s="211" t="s">
        <v>18</v>
      </c>
      <c r="D8" s="212" t="s">
        <v>19</v>
      </c>
      <c r="E8" s="214">
        <v>90</v>
      </c>
      <c r="F8" s="95">
        <f>'AVAILABILITY DASHBOARD'!H271</f>
        <v>92.857142857142861</v>
      </c>
      <c r="G8" s="452"/>
      <c r="H8" s="714"/>
      <c r="I8" s="456"/>
      <c r="J8" s="718"/>
      <c r="K8" s="211" t="s">
        <v>99</v>
      </c>
      <c r="L8" s="212" t="s">
        <v>33</v>
      </c>
      <c r="M8" s="214">
        <v>90</v>
      </c>
      <c r="N8" s="95">
        <f>'AVAILABILITY DASHBOARD'!L264</f>
        <v>100</v>
      </c>
      <c r="O8" s="715"/>
      <c r="P8" s="279"/>
    </row>
    <row r="9" spans="1:16" ht="32.25" customHeight="1">
      <c r="A9" s="719"/>
      <c r="B9" s="712"/>
      <c r="C9" s="211"/>
      <c r="D9" s="212"/>
      <c r="E9" s="214"/>
      <c r="F9" s="95"/>
      <c r="G9" s="452"/>
      <c r="H9" s="714"/>
      <c r="I9" s="456"/>
      <c r="J9" s="718"/>
      <c r="K9" s="211"/>
      <c r="L9" s="212"/>
      <c r="M9" s="214"/>
      <c r="N9" s="95"/>
      <c r="O9" s="715"/>
    </row>
    <row r="10" spans="1:16" ht="32.25" customHeight="1">
      <c r="A10" s="719"/>
      <c r="B10" s="712"/>
      <c r="C10" s="211"/>
      <c r="D10" s="212"/>
      <c r="E10" s="214"/>
      <c r="F10" s="95"/>
      <c r="G10" s="452"/>
      <c r="H10" s="714"/>
      <c r="I10" s="453"/>
      <c r="J10" s="718"/>
      <c r="K10" s="211"/>
      <c r="L10" s="212"/>
      <c r="M10" s="214"/>
      <c r="N10" s="95"/>
      <c r="O10" s="715"/>
    </row>
    <row r="11" spans="1:16" ht="23.25" customHeight="1">
      <c r="B11" s="712">
        <f>G4</f>
        <v>92.797599046338945</v>
      </c>
      <c r="C11" s="712"/>
      <c r="D11" s="712"/>
      <c r="E11" s="712"/>
      <c r="F11" s="712"/>
      <c r="G11" s="452"/>
      <c r="H11" s="714"/>
      <c r="I11" s="453"/>
      <c r="J11" s="716">
        <f>P4</f>
        <v>74.418523787765992</v>
      </c>
      <c r="K11" s="716"/>
      <c r="L11" s="716"/>
      <c r="M11" s="716"/>
      <c r="N11" s="716"/>
      <c r="O11" s="715"/>
    </row>
    <row r="12" spans="1:16" ht="30.75">
      <c r="B12" s="453"/>
      <c r="C12" s="453"/>
      <c r="D12" s="259"/>
      <c r="E12" s="457"/>
      <c r="F12" s="458"/>
      <c r="G12" s="453"/>
      <c r="H12" s="453"/>
      <c r="I12" s="453"/>
      <c r="J12" s="453"/>
      <c r="K12" s="453"/>
      <c r="L12" s="453"/>
      <c r="M12" s="453"/>
      <c r="N12" s="453"/>
    </row>
    <row r="13" spans="1:16" ht="30.75">
      <c r="B13" s="711" t="s">
        <v>100</v>
      </c>
      <c r="C13" s="711"/>
      <c r="D13" s="711"/>
      <c r="E13" s="711"/>
      <c r="F13" s="711"/>
      <c r="G13" s="711"/>
      <c r="H13" s="711"/>
      <c r="I13" s="453"/>
      <c r="J13" s="453"/>
      <c r="K13" s="453"/>
      <c r="L13" s="453"/>
      <c r="M13" s="453"/>
      <c r="N13" s="453"/>
    </row>
    <row r="14" spans="1:16" ht="30.75">
      <c r="B14" s="712">
        <f>G16</f>
        <v>86.178114904457431</v>
      </c>
      <c r="C14" s="712"/>
      <c r="D14" s="712"/>
      <c r="E14" s="713" t="s">
        <v>0</v>
      </c>
      <c r="F14" s="713"/>
      <c r="G14" s="452"/>
      <c r="H14" s="714">
        <f>G16</f>
        <v>86.178114904457431</v>
      </c>
      <c r="I14" s="453"/>
      <c r="J14" s="453"/>
      <c r="K14" s="453"/>
      <c r="L14" s="453"/>
      <c r="M14" s="453"/>
      <c r="N14" s="453"/>
    </row>
    <row r="15" spans="1:16" ht="33" customHeight="1">
      <c r="B15" s="712">
        <f>G16</f>
        <v>86.178114904457431</v>
      </c>
      <c r="C15" s="211" t="str">
        <f>CONCATENATE("DATE:","    ",'OTHER REPORTS'!A3)</f>
        <v>DATE:    TUESDAY 21ST OCTOBER 2025</v>
      </c>
      <c r="D15" s="212"/>
      <c r="E15" s="213" t="s">
        <v>6</v>
      </c>
      <c r="F15" s="213" t="s">
        <v>7</v>
      </c>
      <c r="G15" s="452"/>
      <c r="H15" s="714"/>
      <c r="I15" s="453"/>
      <c r="J15" s="453"/>
      <c r="K15" s="453"/>
      <c r="L15" s="453"/>
      <c r="M15" s="453"/>
      <c r="N15" s="453"/>
    </row>
    <row r="16" spans="1:16" ht="33" customHeight="1">
      <c r="B16" s="712"/>
      <c r="C16" s="211" t="s">
        <v>12</v>
      </c>
      <c r="D16" s="212" t="s">
        <v>13</v>
      </c>
      <c r="E16" s="214">
        <v>90</v>
      </c>
      <c r="F16" s="95">
        <f>'AVAILABILITY DASHBOARD'!P32</f>
        <v>75.893670309653757</v>
      </c>
      <c r="G16" s="454">
        <f>(F16+F17+F18+F19)/400*100</f>
        <v>86.178114904457431</v>
      </c>
      <c r="H16" s="714"/>
      <c r="I16" s="453"/>
      <c r="J16" s="453"/>
      <c r="K16" s="453"/>
      <c r="L16" s="453"/>
      <c r="M16" s="453"/>
      <c r="N16" s="453"/>
    </row>
    <row r="17" spans="2:14" ht="33" customHeight="1">
      <c r="B17" s="712"/>
      <c r="C17" s="211" t="s">
        <v>101</v>
      </c>
      <c r="D17" s="212" t="s">
        <v>74</v>
      </c>
      <c r="E17" s="214">
        <v>90</v>
      </c>
      <c r="F17" s="95">
        <f>'AVAILABILITY DASHBOARD'!P94</f>
        <v>74.479166666666515</v>
      </c>
      <c r="G17" s="452"/>
      <c r="H17" s="714"/>
      <c r="I17" s="453"/>
      <c r="J17" s="453"/>
      <c r="K17" s="453"/>
      <c r="L17" s="453"/>
      <c r="M17" s="453"/>
      <c r="N17" s="453"/>
    </row>
    <row r="18" spans="2:14" ht="33" customHeight="1">
      <c r="B18" s="712"/>
      <c r="C18" s="211" t="s">
        <v>102</v>
      </c>
      <c r="D18" s="212" t="s">
        <v>103</v>
      </c>
      <c r="E18" s="214">
        <v>90</v>
      </c>
      <c r="F18" s="95">
        <f>'AVAILABILITY DASHBOARD'!H268</f>
        <v>94.339622641509436</v>
      </c>
      <c r="G18" s="452"/>
      <c r="H18" s="714"/>
      <c r="I18" s="453"/>
      <c r="J18" s="453"/>
      <c r="K18" s="453"/>
      <c r="L18" s="453"/>
      <c r="M18" s="453"/>
      <c r="N18" s="453"/>
    </row>
    <row r="19" spans="2:14" ht="33" customHeight="1">
      <c r="B19" s="712"/>
      <c r="C19" s="211" t="s">
        <v>104</v>
      </c>
      <c r="D19" s="212" t="s">
        <v>105</v>
      </c>
      <c r="E19" s="214">
        <v>90</v>
      </c>
      <c r="F19" s="95">
        <f>'AVAILABILITY DASHBOARD'!H269</f>
        <v>100</v>
      </c>
      <c r="G19" s="452"/>
      <c r="H19" s="714"/>
      <c r="I19" s="453"/>
      <c r="J19" s="453"/>
      <c r="K19" s="453"/>
      <c r="L19" s="453"/>
      <c r="M19" s="453"/>
      <c r="N19" s="453"/>
    </row>
    <row r="20" spans="2:14" ht="33" customHeight="1">
      <c r="B20" s="712"/>
      <c r="C20" s="211"/>
      <c r="D20" s="212"/>
      <c r="E20" s="214"/>
      <c r="F20" s="95"/>
      <c r="G20" s="452"/>
      <c r="H20" s="714"/>
      <c r="I20" s="453"/>
      <c r="J20" s="453"/>
      <c r="K20" s="453"/>
      <c r="L20" s="453"/>
      <c r="M20" s="453"/>
      <c r="N20" s="453"/>
    </row>
    <row r="21" spans="2:14" ht="33" customHeight="1">
      <c r="B21" s="712"/>
      <c r="C21" s="211"/>
      <c r="D21" s="212"/>
      <c r="E21" s="214"/>
      <c r="F21" s="95"/>
      <c r="G21" s="452"/>
      <c r="H21" s="714"/>
      <c r="I21" s="453"/>
      <c r="J21" s="453"/>
      <c r="K21" s="453"/>
      <c r="L21" s="453"/>
      <c r="M21" s="453"/>
      <c r="N21" s="453"/>
    </row>
    <row r="22" spans="2:14" ht="30.75">
      <c r="B22" s="712">
        <f>G16</f>
        <v>86.178114904457431</v>
      </c>
      <c r="C22" s="712"/>
      <c r="D22" s="712"/>
      <c r="E22" s="712"/>
      <c r="F22" s="712"/>
      <c r="G22" s="452"/>
      <c r="H22" s="714"/>
      <c r="I22" s="453"/>
      <c r="J22" s="453"/>
      <c r="K22" s="453"/>
      <c r="L22" s="453"/>
      <c r="M22" s="453"/>
      <c r="N22" s="453"/>
    </row>
  </sheetData>
  <sheetProtection algorithmName="SHA-512" hashValue="Y4xiOSiX7IrJKIDC7HiZJwdTaShvn0Unp7EfBOZNXfcKZkW0YMKurAhfASLLY7gqo+fQVY6FpnoamsK8wpObEA==" saltValue="D8aK96eq03ZLiv3xhCRBgA==" spinCount="100000" sheet="1" objects="1" scenarios="1"/>
  <mergeCells count="19">
    <mergeCell ref="A4:A10"/>
    <mergeCell ref="B11:F11"/>
    <mergeCell ref="B2:D2"/>
    <mergeCell ref="B3:B10"/>
    <mergeCell ref="E2:F2"/>
    <mergeCell ref="J1:O1"/>
    <mergeCell ref="B1:H1"/>
    <mergeCell ref="B13:H13"/>
    <mergeCell ref="B14:D14"/>
    <mergeCell ref="E14:F14"/>
    <mergeCell ref="H14:H22"/>
    <mergeCell ref="B15:B21"/>
    <mergeCell ref="B22:F22"/>
    <mergeCell ref="O2:O11"/>
    <mergeCell ref="J11:N11"/>
    <mergeCell ref="H2:H11"/>
    <mergeCell ref="J2:L2"/>
    <mergeCell ref="M2:N2"/>
    <mergeCell ref="J3:J10"/>
  </mergeCells>
  <conditionalFormatting sqref="B2:B3">
    <cfRule type="colorScale" priority="65">
      <colorScale>
        <cfvo type="num" val="84"/>
        <cfvo type="num" val="87"/>
        <cfvo type="num" val="90"/>
        <color rgb="FFFF0000"/>
        <color rgb="FFFFFF00"/>
        <color rgb="FF00B050"/>
      </colorScale>
    </cfRule>
  </conditionalFormatting>
  <conditionalFormatting sqref="B14:B15 B22">
    <cfRule type="colorScale" priority="10">
      <colorScale>
        <cfvo type="num" val="84"/>
        <cfvo type="num" val="87"/>
        <cfvo type="num" val="90"/>
        <color rgb="FFFF0000"/>
        <color rgb="FFFFFF00"/>
        <color rgb="FF00B050"/>
      </colorScale>
    </cfRule>
  </conditionalFormatting>
  <conditionalFormatting sqref="B15:B21 B3:B10 B11:F11 B2:D2 B14:D14 B22:F22">
    <cfRule type="colorScale" priority="18">
      <colorScale>
        <cfvo type="num" val="85"/>
        <cfvo type="num" val="90"/>
        <cfvo type="num" val="100"/>
        <color rgb="FFF8696B"/>
        <color rgb="FF92D050"/>
        <color rgb="FF63BE7B"/>
      </colorScale>
    </cfRule>
  </conditionalFormatting>
  <conditionalFormatting sqref="E2:F2">
    <cfRule type="colorScale" priority="20">
      <colorScale>
        <cfvo type="percent" val="84"/>
        <cfvo type="percent" val="87"/>
        <cfvo type="percent" val="100"/>
        <color rgb="FFFF0000"/>
        <color rgb="FFFFFF00"/>
        <color rgb="FF00B050"/>
      </colorScale>
    </cfRule>
  </conditionalFormatting>
  <conditionalFormatting sqref="E14:F14">
    <cfRule type="colorScale" priority="6">
      <colorScale>
        <cfvo type="percent" val="84"/>
        <cfvo type="percent" val="87"/>
        <cfvo type="percent" val="100"/>
        <color rgb="FFFF0000"/>
        <color rgb="FFFFFF00"/>
        <color rgb="FF00B050"/>
      </colorScale>
    </cfRule>
  </conditionalFormatting>
  <conditionalFormatting sqref="F4">
    <cfRule type="iconSet" priority="90">
      <iconSet iconSet="3TrafficLights2">
        <cfvo type="percent" val="0"/>
        <cfvo type="num" val="85"/>
        <cfvo type="num" val="90"/>
      </iconSet>
    </cfRule>
  </conditionalFormatting>
  <conditionalFormatting sqref="F5 F7:F10">
    <cfRule type="iconSet" priority="832">
      <iconSet iconSet="3TrafficLights2">
        <cfvo type="percent" val="0"/>
        <cfvo type="num" val="85"/>
        <cfvo type="num" val="90"/>
      </iconSet>
    </cfRule>
  </conditionalFormatting>
  <conditionalFormatting sqref="F6">
    <cfRule type="iconSet" priority="1">
      <iconSet iconSet="3TrafficLights2">
        <cfvo type="percent" val="0"/>
        <cfvo type="num" val="85"/>
        <cfvo type="num" val="90"/>
      </iconSet>
    </cfRule>
  </conditionalFormatting>
  <conditionalFormatting sqref="F16">
    <cfRule type="iconSet" priority="11">
      <iconSet iconSet="3TrafficLights2">
        <cfvo type="percent" val="0"/>
        <cfvo type="num" val="85"/>
        <cfvo type="num" val="90"/>
      </iconSet>
    </cfRule>
  </conditionalFormatting>
  <conditionalFormatting sqref="F17:F21">
    <cfRule type="iconSet" priority="823">
      <iconSet iconSet="3TrafficLights2">
        <cfvo type="percent" val="0"/>
        <cfvo type="num" val="85"/>
        <cfvo type="num" val="90"/>
      </iconSet>
    </cfRule>
  </conditionalFormatting>
  <conditionalFormatting sqref="H2">
    <cfRule type="colorScale" priority="37">
      <colorScale>
        <cfvo type="num" val="84"/>
        <cfvo type="num" val="87"/>
        <cfvo type="num" val="90"/>
        <color rgb="FFFF0000"/>
        <color rgb="FFFFFF00"/>
        <color rgb="FF00B050"/>
      </colorScale>
    </cfRule>
  </conditionalFormatting>
  <conditionalFormatting sqref="H14">
    <cfRule type="colorScale" priority="8">
      <colorScale>
        <cfvo type="num" val="84"/>
        <cfvo type="num" val="87"/>
        <cfvo type="num" val="90"/>
        <color rgb="FFFF0000"/>
        <color rgb="FFFFFF00"/>
        <color rgb="FF00B050"/>
      </colorScale>
    </cfRule>
  </conditionalFormatting>
  <conditionalFormatting sqref="H14:H22 J3:J10 H2:H11 O2:O11 J11:N11 J2:L2">
    <cfRule type="colorScale" priority="16">
      <colorScale>
        <cfvo type="num" val="85"/>
        <cfvo type="num" val="90"/>
        <cfvo type="num" val="100"/>
        <color rgb="FFF8696B"/>
        <color rgb="FF92D050"/>
        <color rgb="FF00B050"/>
      </colorScale>
    </cfRule>
  </conditionalFormatting>
  <conditionalFormatting sqref="I5">
    <cfRule type="colorScale" priority="836">
      <colorScale>
        <cfvo type="num" val="83"/>
        <cfvo type="num" val="85"/>
        <cfvo type="num" val="90"/>
        <color rgb="FFF8696B"/>
        <color rgb="FFFFEB84"/>
        <color rgb="FF63BE7B"/>
      </colorScale>
    </cfRule>
    <cfRule type="colorScale" priority="837">
      <colorScale>
        <cfvo type="percent" val="83"/>
        <cfvo type="percentile" val="85"/>
        <cfvo type="percent" val="90"/>
        <color rgb="FFF8696B"/>
        <color rgb="FFFFEB84"/>
        <color rgb="FF63BE7B"/>
      </colorScale>
    </cfRule>
    <cfRule type="cellIs" dxfId="51" priority="838" stopIfTrue="1" operator="greaterThan">
      <formula>90</formula>
    </cfRule>
    <cfRule type="colorScale" priority="839">
      <colorScale>
        <cfvo type="num" val="83"/>
        <cfvo type="num" val="85"/>
        <cfvo type="num" val="88"/>
        <color rgb="FFFF0000"/>
        <color rgb="FFFFFF00"/>
        <color rgb="FF00B050"/>
      </colorScale>
    </cfRule>
  </conditionalFormatting>
  <conditionalFormatting sqref="J2">
    <cfRule type="colorScale" priority="29">
      <colorScale>
        <cfvo type="num" val="83"/>
        <cfvo type="num" val="85"/>
        <cfvo type="num" val="90"/>
        <color rgb="FFFF0000"/>
        <color rgb="FFFFFF00"/>
        <color rgb="FF00B050"/>
      </colorScale>
    </cfRule>
  </conditionalFormatting>
  <conditionalFormatting sqref="J3">
    <cfRule type="colorScale" priority="28">
      <colorScale>
        <cfvo type="num" val="83"/>
        <cfvo type="num" val="85"/>
        <cfvo type="num" val="90"/>
        <color rgb="FFFF0000"/>
        <color rgb="FFFFFF00"/>
        <color rgb="FF00B050"/>
      </colorScale>
    </cfRule>
  </conditionalFormatting>
  <conditionalFormatting sqref="N4:N8">
    <cfRule type="iconSet" priority="40">
      <iconSet iconSet="3TrafficLights2">
        <cfvo type="percent" val="0"/>
        <cfvo type="num" val="85"/>
        <cfvo type="num" val="90"/>
      </iconSet>
    </cfRule>
  </conditionalFormatting>
  <conditionalFormatting sqref="N9:N10">
    <cfRule type="iconSet" priority="835">
      <iconSet iconSet="3TrafficLights2">
        <cfvo type="percent" val="0"/>
        <cfvo type="num" val="85"/>
        <cfvo type="num" val="90"/>
      </iconSet>
    </cfRule>
  </conditionalFormatting>
  <conditionalFormatting sqref="O2">
    <cfRule type="colorScale" priority="27">
      <colorScale>
        <cfvo type="num" val="84"/>
        <cfvo type="num" val="87"/>
        <cfvo type="num" val="90"/>
        <color rgb="FFFF0000"/>
        <color rgb="FFFFFF00"/>
        <color rgb="FF00B050"/>
      </colorScale>
    </cfRule>
  </conditionalFormatting>
  <conditionalFormatting sqref="P4">
    <cfRule type="colorScale" priority="39">
      <colorScale>
        <cfvo type="num" val="83"/>
        <cfvo type="num" val="85"/>
        <cfvo type="num" val="90"/>
        <color rgb="FFF8696B"/>
        <color rgb="FFFFEB84"/>
        <color rgb="FF63BE7B"/>
      </colorScale>
    </cfRule>
  </conditionalFormatting>
  <pageMargins left="0.7" right="0.7" top="0.75" bottom="0.75" header="0.3" footer="0.3"/>
  <pageSetup scale="6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L301"/>
  <sheetViews>
    <sheetView showGridLines="0" zoomScale="20" zoomScaleNormal="20" zoomScaleSheetLayoutView="25" zoomScalePageLayoutView="70" workbookViewId="0">
      <pane ySplit="4" topLeftCell="A5" activePane="bottomLeft" state="frozen"/>
      <selection pane="bottomLeft" activeCell="O261" sqref="O261"/>
    </sheetView>
  </sheetViews>
  <sheetFormatPr defaultColWidth="9.28515625" defaultRowHeight="68.25"/>
  <cols>
    <col min="1" max="1" width="45.42578125" style="226" customWidth="1"/>
    <col min="2" max="2" width="27.28515625" style="226" customWidth="1"/>
    <col min="3" max="3" width="34" style="241" customWidth="1"/>
    <col min="4" max="4" width="24.42578125" style="238" bestFit="1" customWidth="1"/>
    <col min="5" max="5" width="26.42578125" style="238" customWidth="1"/>
    <col min="6" max="6" width="27.42578125" style="238" customWidth="1"/>
    <col min="7" max="7" width="1.28515625" style="238" hidden="1" customWidth="1"/>
    <col min="8" max="8" width="40.28515625" style="238" customWidth="1"/>
    <col min="9" max="9" width="63.42578125" style="238" hidden="1" customWidth="1"/>
    <col min="10" max="10" width="0.7109375" style="238" customWidth="1"/>
    <col min="11" max="11" width="75" style="238" hidden="1" customWidth="1"/>
    <col min="12" max="13" width="33.28515625" style="238" customWidth="1"/>
    <col min="14" max="14" width="31.42578125" style="238" customWidth="1"/>
    <col min="15" max="15" width="33.42578125" style="238" customWidth="1"/>
    <col min="16" max="16" width="47.28515625" style="48" customWidth="1"/>
    <col min="17" max="17" width="40.28515625" style="48" customWidth="1"/>
    <col min="18" max="18" width="44.28515625" style="48" customWidth="1"/>
    <col min="19" max="19" width="39.42578125" style="48" customWidth="1"/>
    <col min="20" max="20" width="40.28515625" style="48" customWidth="1"/>
    <col min="21" max="21" width="45.42578125" style="48" customWidth="1"/>
    <col min="22" max="22" width="58" style="48" customWidth="1"/>
    <col min="23" max="23" width="46.42578125" style="48" customWidth="1"/>
    <col min="24" max="24" width="83.42578125" style="48" customWidth="1"/>
    <col min="25" max="25" width="40.28515625" style="48" bestFit="1" customWidth="1"/>
    <col min="26" max="26" width="98.7109375" style="48" customWidth="1"/>
    <col min="27" max="27" width="15.7109375" style="48" hidden="1" customWidth="1"/>
    <col min="28" max="28" width="23.42578125" style="48" customWidth="1"/>
    <col min="29" max="29" width="47.28515625" style="48" customWidth="1"/>
    <col min="30" max="30" width="32.42578125" style="48" customWidth="1"/>
    <col min="31" max="31" width="13.28515625" style="48" customWidth="1"/>
    <col min="32" max="32" width="5.7109375" style="48" customWidth="1"/>
    <col min="33" max="33" width="37.7109375" style="48" customWidth="1"/>
    <col min="34" max="34" width="25.28515625" style="48" customWidth="1"/>
    <col min="35" max="35" width="20.42578125" style="48" customWidth="1"/>
    <col min="36" max="36" width="15.28515625" style="48" customWidth="1"/>
    <col min="37" max="37" width="10.28515625" style="48" hidden="1" customWidth="1"/>
    <col min="38" max="38" width="29.28515625" style="48" hidden="1" customWidth="1"/>
    <col min="39" max="39" width="6.28515625" style="48" customWidth="1"/>
    <col min="40" max="58" width="9.28515625" style="48" customWidth="1"/>
    <col min="59" max="16384" width="9.28515625" style="48"/>
  </cols>
  <sheetData>
    <row r="1" spans="1:27" ht="77.25" customHeight="1">
      <c r="A1" s="827" t="s">
        <v>106</v>
      </c>
      <c r="B1" s="827"/>
      <c r="C1" s="827"/>
      <c r="D1" s="827" t="str">
        <f>'OTHER REPORTS'!B3</f>
        <v>EQUIPMENT AVAILABILITY AS AT 0700HRS</v>
      </c>
      <c r="E1" s="837"/>
      <c r="F1" s="837"/>
      <c r="G1" s="837"/>
      <c r="H1" s="837"/>
      <c r="I1" s="837"/>
      <c r="J1" s="837"/>
      <c r="K1" s="837"/>
      <c r="L1" s="837"/>
      <c r="M1" s="837"/>
      <c r="N1" s="837"/>
      <c r="O1" s="837"/>
      <c r="P1" s="837"/>
      <c r="Q1" s="837"/>
      <c r="R1" s="837"/>
      <c r="S1" s="746" t="str">
        <f>'OTHER REPORTS'!A3</f>
        <v>TUESDAY 21ST OCTOBER 2025</v>
      </c>
      <c r="T1" s="849"/>
      <c r="U1" s="849"/>
      <c r="V1" s="849"/>
      <c r="W1" s="849"/>
      <c r="X1" s="849"/>
      <c r="Y1" s="849"/>
      <c r="Z1" s="849"/>
    </row>
    <row r="2" spans="1:27" ht="259.5" customHeight="1">
      <c r="A2" s="827" t="s">
        <v>81</v>
      </c>
      <c r="B2" s="827"/>
      <c r="C2" s="827"/>
      <c r="D2" s="49" t="s">
        <v>37</v>
      </c>
      <c r="E2" s="47" t="s">
        <v>107</v>
      </c>
      <c r="F2" s="47" t="s">
        <v>108</v>
      </c>
      <c r="G2" s="47" t="s">
        <v>574</v>
      </c>
      <c r="H2" s="47" t="s">
        <v>109</v>
      </c>
      <c r="I2" s="47"/>
      <c r="J2" s="47"/>
      <c r="K2" s="47"/>
      <c r="L2" s="47" t="s">
        <v>110</v>
      </c>
      <c r="M2" s="47" t="s">
        <v>111</v>
      </c>
      <c r="N2" s="47" t="s">
        <v>3</v>
      </c>
      <c r="O2" s="47" t="s">
        <v>4</v>
      </c>
      <c r="P2" s="858" t="s">
        <v>112</v>
      </c>
      <c r="Q2" s="858"/>
      <c r="R2" s="858"/>
      <c r="S2" s="781" t="s">
        <v>113</v>
      </c>
      <c r="T2" s="746"/>
      <c r="U2" s="746"/>
      <c r="V2" s="859"/>
      <c r="W2" s="859"/>
      <c r="X2" s="859"/>
      <c r="Y2" s="859"/>
      <c r="Z2" s="746"/>
    </row>
    <row r="3" spans="1:27" ht="3.75" customHeight="1">
      <c r="A3" s="306"/>
      <c r="B3" s="307"/>
      <c r="C3" s="307"/>
      <c r="D3" s="362"/>
      <c r="E3" s="363"/>
      <c r="F3" s="363"/>
      <c r="G3" s="363"/>
      <c r="H3" s="220"/>
      <c r="I3" s="220"/>
      <c r="J3" s="220"/>
      <c r="K3" s="220"/>
      <c r="L3" s="220"/>
      <c r="M3" s="220"/>
      <c r="N3" s="220"/>
      <c r="O3" s="220"/>
      <c r="P3" s="308" t="s">
        <v>114</v>
      </c>
      <c r="Q3" s="308" t="s">
        <v>3</v>
      </c>
      <c r="R3" s="308" t="s">
        <v>4</v>
      </c>
      <c r="S3" s="761"/>
      <c r="T3" s="762"/>
      <c r="U3" s="762"/>
      <c r="V3" s="762"/>
      <c r="W3" s="762"/>
      <c r="X3" s="762"/>
      <c r="Y3" s="762"/>
      <c r="Z3" s="763"/>
    </row>
    <row r="4" spans="1:27" ht="60.75" customHeight="1" thickBot="1">
      <c r="A4" s="343"/>
      <c r="B4" s="344"/>
      <c r="C4" s="344"/>
      <c r="D4" s="362"/>
      <c r="E4" s="363"/>
      <c r="F4" s="363"/>
      <c r="G4" s="363"/>
      <c r="H4" s="220"/>
      <c r="I4" s="220"/>
      <c r="J4" s="220"/>
      <c r="K4" s="220"/>
      <c r="L4" s="220"/>
      <c r="M4" s="220"/>
      <c r="N4" s="220"/>
      <c r="O4" s="220"/>
      <c r="P4" s="255" t="s">
        <v>115</v>
      </c>
      <c r="Q4" s="221" t="s">
        <v>3</v>
      </c>
      <c r="R4" s="221" t="s">
        <v>4</v>
      </c>
      <c r="S4" s="767"/>
      <c r="T4" s="768"/>
      <c r="U4" s="768"/>
      <c r="V4" s="768"/>
      <c r="W4" s="768"/>
      <c r="X4" s="768"/>
      <c r="Y4" s="768"/>
      <c r="Z4" s="769"/>
    </row>
    <row r="5" spans="1:27" s="226" customFormat="1" ht="60" customHeight="1">
      <c r="A5" s="747" t="s">
        <v>9</v>
      </c>
      <c r="B5" s="748"/>
      <c r="C5" s="748"/>
      <c r="D5" s="222">
        <v>16</v>
      </c>
      <c r="E5" s="223">
        <f>'STS RMG FAULTS'!L6+'STS RMG FAULTS'!L7</f>
        <v>15</v>
      </c>
      <c r="F5" s="224">
        <v>15</v>
      </c>
      <c r="G5" s="238"/>
      <c r="H5" s="844" t="s">
        <v>116</v>
      </c>
      <c r="I5" s="822"/>
      <c r="J5" s="822"/>
      <c r="K5" s="822"/>
      <c r="L5" s="822"/>
      <c r="M5" s="822"/>
      <c r="N5" s="822"/>
      <c r="O5" s="822"/>
      <c r="P5" s="225"/>
      <c r="Q5" s="225"/>
      <c r="R5" s="225"/>
      <c r="S5" s="828"/>
      <c r="T5" s="828"/>
      <c r="U5" s="828"/>
      <c r="V5" s="828"/>
      <c r="W5" s="828"/>
      <c r="X5" s="828"/>
      <c r="Y5" s="828"/>
      <c r="Z5" s="828"/>
    </row>
    <row r="6" spans="1:27" s="226" customFormat="1" ht="68.25" customHeight="1">
      <c r="A6" s="829"/>
      <c r="B6" s="830"/>
      <c r="C6" s="830"/>
      <c r="D6" s="761"/>
      <c r="E6" s="762"/>
      <c r="F6" s="763"/>
      <c r="G6" s="309">
        <f t="shared" ref="G6:G21" si="0">CONVERT(H6,"hr","min")</f>
        <v>0</v>
      </c>
      <c r="H6" s="309">
        <f>'STS RMG FAULTS'!O9</f>
        <v>0</v>
      </c>
      <c r="I6" s="310">
        <f>H6</f>
        <v>0</v>
      </c>
      <c r="J6" s="311">
        <f>I6/0.00069444444444444</f>
        <v>0</v>
      </c>
      <c r="K6" s="312">
        <f>(1-I6)/0.00069444444444444</f>
        <v>1440.0000000000091</v>
      </c>
      <c r="L6" s="313">
        <f>((1440-(J6))/1440)*100</f>
        <v>100</v>
      </c>
      <c r="M6" s="350">
        <f>'STS RMG FAULTS'!P9</f>
        <v>10</v>
      </c>
      <c r="N6" s="309">
        <f>((1440-J6)/(M6+1))*0.00069444444444444</f>
        <v>9.0909090909090329E-2</v>
      </c>
      <c r="O6" s="314">
        <f t="shared" ref="O6:O17" si="1">((1440-K6)/(M6))*0.00069444444444444</f>
        <v>-6.3159354289786281E-16</v>
      </c>
      <c r="P6" s="227">
        <f>AVERAGE(L6:L21)</f>
        <v>90.690104166666615</v>
      </c>
      <c r="Q6" s="315">
        <f ca="1">AVERAGEIF(N6:N21,"&gt;0",N10:N21)</f>
        <v>0.57897376543209444</v>
      </c>
      <c r="R6" s="316">
        <f>AVERAGEIF(O6:O21,"&gt;0",O6:O21)</f>
        <v>0.11226851851851598</v>
      </c>
      <c r="S6" s="746" t="str">
        <f>CONCATENATE("STS1603:  ",'STS RMG FAULTS'!B9,"_",'STS RMG FAULTS'!G9,"_",'STS RMG FAULTS'!K9)</f>
        <v>STS1603:  HOIST_NIL_NIL</v>
      </c>
      <c r="T6" s="746"/>
      <c r="U6" s="746"/>
      <c r="V6" s="746"/>
      <c r="W6" s="746"/>
      <c r="X6" s="746"/>
      <c r="Y6" s="746"/>
      <c r="Z6" s="746"/>
    </row>
    <row r="7" spans="1:27" s="226" customFormat="1" ht="73.5" thickBot="1">
      <c r="A7" s="831"/>
      <c r="B7" s="832"/>
      <c r="C7" s="832"/>
      <c r="D7" s="764"/>
      <c r="E7" s="765"/>
      <c r="F7" s="766"/>
      <c r="G7" s="309">
        <f t="shared" si="0"/>
        <v>0</v>
      </c>
      <c r="H7" s="309">
        <f>'STS RMG FAULTS'!O10</f>
        <v>0</v>
      </c>
      <c r="I7" s="310">
        <f t="shared" ref="I7:I21" si="2">H7</f>
        <v>0</v>
      </c>
      <c r="J7" s="311">
        <f t="shared" ref="J7:J17" si="3">I7/0.00069444444444444</f>
        <v>0</v>
      </c>
      <c r="K7" s="312">
        <f t="shared" ref="K7:K13" si="4">(1-I7)/0.00069444444444444</f>
        <v>1440.0000000000091</v>
      </c>
      <c r="L7" s="313">
        <f>((1440-(J7))/1440)*100</f>
        <v>100</v>
      </c>
      <c r="M7" s="350">
        <f>'STS RMG FAULTS'!P10</f>
        <v>0</v>
      </c>
      <c r="N7" s="309">
        <f>((1440-J7)/(M7+1))*0.00069444444444444</f>
        <v>0.99999999999999367</v>
      </c>
      <c r="O7" s="314" t="e">
        <f t="shared" si="1"/>
        <v>#DIV/0!</v>
      </c>
      <c r="P7" s="228">
        <v>90</v>
      </c>
      <c r="Q7" s="229">
        <v>0.9</v>
      </c>
      <c r="R7" s="230">
        <v>3.125E-2</v>
      </c>
      <c r="S7" s="746" t="str">
        <f>CONCATENATE("STS1604:  ",'STS RMG FAULTS'!B10,"_",'STS RMG FAULTS'!G10,"_",'STS RMG FAULTS'!K10)</f>
        <v>STS1604:  NIL_NIL_NIL</v>
      </c>
      <c r="T7" s="746"/>
      <c r="U7" s="746"/>
      <c r="V7" s="746"/>
      <c r="W7" s="746"/>
      <c r="X7" s="746"/>
      <c r="Y7" s="746"/>
      <c r="Z7" s="746"/>
    </row>
    <row r="8" spans="1:27" s="226" customFormat="1" ht="60" customHeight="1">
      <c r="A8" s="833" t="s">
        <v>117</v>
      </c>
      <c r="B8" s="833">
        <f>'STS RMG FAULTS'!L6</f>
        <v>10</v>
      </c>
      <c r="C8" s="231"/>
      <c r="D8" s="145" t="s">
        <v>118</v>
      </c>
      <c r="E8" s="835">
        <f>AA8</f>
        <v>14.510416666666659</v>
      </c>
      <c r="F8" s="317"/>
      <c r="G8" s="309">
        <f t="shared" si="0"/>
        <v>0</v>
      </c>
      <c r="H8" s="309">
        <f>'STS RMG FAULTS'!O11</f>
        <v>0</v>
      </c>
      <c r="I8" s="310">
        <f t="shared" si="2"/>
        <v>0</v>
      </c>
      <c r="J8" s="311">
        <f t="shared" si="3"/>
        <v>0</v>
      </c>
      <c r="K8" s="312">
        <f t="shared" si="4"/>
        <v>1440.0000000000091</v>
      </c>
      <c r="L8" s="313">
        <f>((1440-(J8))/1440)*100</f>
        <v>100</v>
      </c>
      <c r="M8" s="350">
        <f>'STS RMG FAULTS'!P11</f>
        <v>0</v>
      </c>
      <c r="N8" s="309">
        <f>((1440-J8)/(M8+1))*0.00069444444444444</f>
        <v>0.99999999999999367</v>
      </c>
      <c r="O8" s="314" t="e">
        <f t="shared" si="1"/>
        <v>#DIV/0!</v>
      </c>
      <c r="P8" s="761"/>
      <c r="Q8" s="762"/>
      <c r="R8" s="763"/>
      <c r="S8" s="746" t="str">
        <f>CONCATENATE("STS1605:  ",'STS RMG FAULTS'!B11,"_",'STS RMG FAULTS'!G11,"_",'STS RMG FAULTS'!K11)</f>
        <v>STS1605:  NIL_NIL_NIL</v>
      </c>
      <c r="T8" s="746"/>
      <c r="U8" s="746"/>
      <c r="V8" s="746"/>
      <c r="W8" s="746"/>
      <c r="X8" s="746"/>
      <c r="Y8" s="746"/>
      <c r="Z8" s="746"/>
      <c r="AA8" s="823">
        <f>P6/100*16</f>
        <v>14.510416666666659</v>
      </c>
    </row>
    <row r="9" spans="1:27" s="226" customFormat="1" ht="60" customHeight="1" thickBot="1">
      <c r="A9" s="834"/>
      <c r="B9" s="834"/>
      <c r="C9" s="232">
        <f>AVERAGE(L6:L15)</f>
        <v>93.124999999999972</v>
      </c>
      <c r="D9" s="251"/>
      <c r="E9" s="836"/>
      <c r="F9" s="317"/>
      <c r="G9" s="309">
        <f t="shared" si="0"/>
        <v>0</v>
      </c>
      <c r="H9" s="309">
        <f>'STS RMG FAULTS'!O12</f>
        <v>0</v>
      </c>
      <c r="I9" s="310">
        <f t="shared" si="2"/>
        <v>0</v>
      </c>
      <c r="J9" s="311">
        <f t="shared" si="3"/>
        <v>0</v>
      </c>
      <c r="K9" s="312">
        <f t="shared" si="4"/>
        <v>1440.0000000000091</v>
      </c>
      <c r="L9" s="313">
        <f>((1440-(J9))/1440)*100</f>
        <v>100</v>
      </c>
      <c r="M9" s="350">
        <f>'STS RMG FAULTS'!P12</f>
        <v>0</v>
      </c>
      <c r="N9" s="309">
        <f>((1440-J9)/(M9+1))*0.00069444444444444</f>
        <v>0.99999999999999367</v>
      </c>
      <c r="O9" s="314" t="e">
        <f t="shared" si="1"/>
        <v>#DIV/0!</v>
      </c>
      <c r="P9" s="764"/>
      <c r="Q9" s="765"/>
      <c r="R9" s="766"/>
      <c r="S9" s="746" t="str">
        <f>CONCATENATE("STS1606:  ",'STS RMG FAULTS'!B12,"_",'STS RMG FAULTS'!G12,"_",'STS RMG FAULTS'!K12)</f>
        <v>STS1606:  NIL_NIL_NIL</v>
      </c>
      <c r="T9" s="746"/>
      <c r="U9" s="746"/>
      <c r="V9" s="746"/>
      <c r="W9" s="746"/>
      <c r="X9" s="746"/>
      <c r="Y9" s="746"/>
      <c r="Z9" s="746"/>
      <c r="AA9" s="824"/>
    </row>
    <row r="10" spans="1:27" s="226" customFormat="1" ht="68.25" customHeight="1" thickBot="1">
      <c r="A10" s="365"/>
      <c r="B10" s="365"/>
      <c r="C10" s="365"/>
      <c r="D10" s="764"/>
      <c r="E10" s="765"/>
      <c r="F10" s="766"/>
      <c r="G10" s="309">
        <f t="shared" si="0"/>
        <v>2.2916666666666665</v>
      </c>
      <c r="H10" s="309">
        <f>'STS RMG FAULTS'!O13</f>
        <v>3.8194444444444441E-2</v>
      </c>
      <c r="I10" s="310">
        <f t="shared" si="2"/>
        <v>3.8194444444444441E-2</v>
      </c>
      <c r="J10" s="311">
        <f t="shared" si="3"/>
        <v>55.000000000000341</v>
      </c>
      <c r="K10" s="312">
        <f t="shared" si="4"/>
        <v>1385.0000000000089</v>
      </c>
      <c r="L10" s="313">
        <f t="shared" ref="L10:L17" si="5">((1440-(J10))/1440)*100</f>
        <v>96.180555555555529</v>
      </c>
      <c r="M10" s="350">
        <f>'STS RMG FAULTS'!P13</f>
        <v>3</v>
      </c>
      <c r="N10" s="309">
        <f t="shared" ref="N10:N17" si="6">((1440-J10)/(M10+1))*0.00069444444444444</f>
        <v>0.24045138888888729</v>
      </c>
      <c r="O10" s="314">
        <f t="shared" si="1"/>
        <v>1.2731481481479347E-2</v>
      </c>
      <c r="P10" s="764"/>
      <c r="Q10" s="765"/>
      <c r="R10" s="766"/>
      <c r="S10" s="746" t="str">
        <f>CONCATENATE("STS1804:  ",'STS RMG FAULTS'!B13,"_",'STS RMG FAULTS'!G13,"_",'STS RMG FAULTS'!K13)</f>
        <v>STS1804:  TRAVELLING_TRAVELLING_40FT CONFIRMATION</v>
      </c>
      <c r="T10" s="746"/>
      <c r="U10" s="746"/>
      <c r="V10" s="746"/>
      <c r="W10" s="746"/>
      <c r="X10" s="746"/>
      <c r="Y10" s="746"/>
      <c r="Z10" s="746"/>
    </row>
    <row r="11" spans="1:27" s="226" customFormat="1" ht="68.25" customHeight="1">
      <c r="A11" s="833" t="s">
        <v>119</v>
      </c>
      <c r="B11" s="833">
        <f>'STS RMG FAULTS'!L7</f>
        <v>5</v>
      </c>
      <c r="C11" s="231"/>
      <c r="D11" s="764"/>
      <c r="E11" s="765"/>
      <c r="F11" s="766"/>
      <c r="G11" s="309">
        <f t="shared" si="0"/>
        <v>0</v>
      </c>
      <c r="H11" s="309">
        <f>'STS RMG FAULTS'!O14</f>
        <v>0</v>
      </c>
      <c r="I11" s="310">
        <f t="shared" si="2"/>
        <v>0</v>
      </c>
      <c r="J11" s="311">
        <f t="shared" si="3"/>
        <v>0</v>
      </c>
      <c r="K11" s="312">
        <f t="shared" si="4"/>
        <v>1440.0000000000091</v>
      </c>
      <c r="L11" s="313">
        <f t="shared" si="5"/>
        <v>100</v>
      </c>
      <c r="M11" s="350">
        <f>'STS RMG FAULTS'!P14</f>
        <v>0</v>
      </c>
      <c r="N11" s="309">
        <f t="shared" si="6"/>
        <v>0.99999999999999367</v>
      </c>
      <c r="O11" s="314" t="e">
        <f t="shared" si="1"/>
        <v>#DIV/0!</v>
      </c>
      <c r="P11" s="764"/>
      <c r="Q11" s="765"/>
      <c r="R11" s="766"/>
      <c r="S11" s="746" t="str">
        <f>CONCATENATE("STS1901:  ",'STS RMG FAULTS'!B14,"_",'STS RMG FAULTS'!G14,"_",'STS RMG FAULTS'!K14)</f>
        <v>STS1901:  NIL_NIL_NIL</v>
      </c>
      <c r="T11" s="746"/>
      <c r="U11" s="746"/>
      <c r="V11" s="746"/>
      <c r="W11" s="746"/>
      <c r="X11" s="746"/>
      <c r="Y11" s="746"/>
      <c r="Z11" s="746"/>
    </row>
    <row r="12" spans="1:27" s="226" customFormat="1" ht="60" customHeight="1" thickBot="1">
      <c r="A12" s="834"/>
      <c r="B12" s="834"/>
      <c r="C12" s="232">
        <f>AVERAGE(L16:L21)</f>
        <v>86.631944444444358</v>
      </c>
      <c r="D12" s="764"/>
      <c r="E12" s="765"/>
      <c r="F12" s="766"/>
      <c r="G12" s="309">
        <f t="shared" si="0"/>
        <v>0</v>
      </c>
      <c r="H12" s="309">
        <f>'STS RMG FAULTS'!O15</f>
        <v>0</v>
      </c>
      <c r="I12" s="310">
        <f>H12</f>
        <v>0</v>
      </c>
      <c r="J12" s="311">
        <f t="shared" si="3"/>
        <v>0</v>
      </c>
      <c r="K12" s="319">
        <f t="shared" si="4"/>
        <v>1440.0000000000091</v>
      </c>
      <c r="L12" s="313">
        <f t="shared" si="5"/>
        <v>100</v>
      </c>
      <c r="M12" s="350">
        <f>'STS RMG FAULTS'!P15</f>
        <v>0</v>
      </c>
      <c r="N12" s="309">
        <f t="shared" si="6"/>
        <v>0.99999999999999367</v>
      </c>
      <c r="O12" s="314" t="e">
        <f t="shared" si="1"/>
        <v>#DIV/0!</v>
      </c>
      <c r="P12" s="764"/>
      <c r="Q12" s="765"/>
      <c r="R12" s="766"/>
      <c r="S12" s="779" t="str">
        <f>CONCATENATE("STS1902:  ",'STS RMG FAULTS'!B15,"_",'STS RMG FAULTS'!G15,"_",'STS RMG FAULTS'!K15)</f>
        <v>STS1902:  NIL_NIL_NIL</v>
      </c>
      <c r="T12" s="780"/>
      <c r="U12" s="780"/>
      <c r="V12" s="780"/>
      <c r="W12" s="780"/>
      <c r="X12" s="780"/>
      <c r="Y12" s="780"/>
      <c r="Z12" s="781"/>
    </row>
    <row r="13" spans="1:27" s="226" customFormat="1" ht="63.75" customHeight="1">
      <c r="A13" s="832"/>
      <c r="B13" s="832"/>
      <c r="C13" s="839"/>
      <c r="D13" s="764"/>
      <c r="E13" s="765"/>
      <c r="F13" s="766"/>
      <c r="G13" s="309">
        <f t="shared" si="0"/>
        <v>11.458333333333334</v>
      </c>
      <c r="H13" s="309">
        <f>'STS RMG FAULTS'!O16</f>
        <v>0.19097222222222221</v>
      </c>
      <c r="I13" s="310">
        <f t="shared" si="2"/>
        <v>0.19097222222222221</v>
      </c>
      <c r="J13" s="311">
        <f t="shared" si="3"/>
        <v>275.00000000000171</v>
      </c>
      <c r="K13" s="319">
        <f t="shared" si="4"/>
        <v>1165.0000000000075</v>
      </c>
      <c r="L13" s="313">
        <f t="shared" si="5"/>
        <v>80.902777777777658</v>
      </c>
      <c r="M13" s="350">
        <f>'STS RMG FAULTS'!P16</f>
        <v>5</v>
      </c>
      <c r="N13" s="309">
        <f t="shared" si="6"/>
        <v>0.13483796296296191</v>
      </c>
      <c r="O13" s="314">
        <f t="shared" si="1"/>
        <v>3.8194444444443157E-2</v>
      </c>
      <c r="P13" s="764"/>
      <c r="Q13" s="765"/>
      <c r="R13" s="766"/>
      <c r="S13" s="779" t="str">
        <f>CONCATENATE("STS1903:  ",'STS RMG FAULTS'!B16,"_",'STS RMG FAULTS'!G16,"_",'STS RMG FAULTS'!K16)</f>
        <v>STS1903:  HOISTING/UMBILICAL SPRING/SLING SNAPPED_UMBLICAL CABLE SPRING SNAPPED_TRAVELLING</v>
      </c>
      <c r="T13" s="780"/>
      <c r="U13" s="780"/>
      <c r="V13" s="780"/>
      <c r="W13" s="780"/>
      <c r="X13" s="780"/>
      <c r="Y13" s="780"/>
      <c r="Z13" s="781"/>
    </row>
    <row r="14" spans="1:27" s="226" customFormat="1" ht="63.75" customHeight="1">
      <c r="A14" s="832"/>
      <c r="B14" s="832"/>
      <c r="C14" s="839"/>
      <c r="D14" s="764"/>
      <c r="E14" s="765"/>
      <c r="F14" s="766"/>
      <c r="G14" s="309">
        <f t="shared" si="0"/>
        <v>2.7083333333333339</v>
      </c>
      <c r="H14" s="309">
        <f>'STS RMG FAULTS'!O17</f>
        <v>4.5138888888888895E-2</v>
      </c>
      <c r="I14" s="310">
        <f t="shared" si="2"/>
        <v>4.5138888888888895E-2</v>
      </c>
      <c r="J14" s="311">
        <f t="shared" si="3"/>
        <v>65.000000000000426</v>
      </c>
      <c r="K14" s="319">
        <f t="shared" ref="K14:K21" si="7">(1-I14)/0.00069444444444444</f>
        <v>1375.0000000000089</v>
      </c>
      <c r="L14" s="313">
        <f t="shared" si="5"/>
        <v>95.486111111111086</v>
      </c>
      <c r="M14" s="350">
        <f>'STS RMG FAULTS'!P17</f>
        <v>3</v>
      </c>
      <c r="N14" s="309">
        <f t="shared" si="6"/>
        <v>0.23871527777777618</v>
      </c>
      <c r="O14" s="314">
        <f t="shared" si="1"/>
        <v>1.5046296296294148E-2</v>
      </c>
      <c r="P14" s="764"/>
      <c r="Q14" s="765"/>
      <c r="R14" s="766"/>
      <c r="S14" s="779" t="str">
        <f>CONCATENATE("STS1904:  ",'STS RMG FAULTS'!B17,"_",'STS RMG FAULTS'!G17,"_",'STS RMG FAULTS'!K17)</f>
        <v>STS1904:  SPD COMMUNICATION_NIL_TWIN UP FAULT</v>
      </c>
      <c r="T14" s="780"/>
      <c r="U14" s="780"/>
      <c r="V14" s="780"/>
      <c r="W14" s="780"/>
      <c r="X14" s="780"/>
      <c r="Y14" s="780"/>
      <c r="Z14" s="781"/>
    </row>
    <row r="15" spans="1:27" s="226" customFormat="1" ht="63.75" customHeight="1">
      <c r="A15" s="832"/>
      <c r="B15" s="832"/>
      <c r="C15" s="839"/>
      <c r="D15" s="764"/>
      <c r="E15" s="765"/>
      <c r="F15" s="766"/>
      <c r="G15" s="309">
        <f t="shared" si="0"/>
        <v>24.791666666666668</v>
      </c>
      <c r="H15" s="309">
        <f>'STS RMG FAULTS'!O18</f>
        <v>0.41319444444444442</v>
      </c>
      <c r="I15" s="310">
        <f t="shared" si="2"/>
        <v>0.41319444444444442</v>
      </c>
      <c r="J15" s="311">
        <f t="shared" si="3"/>
        <v>595.00000000000375</v>
      </c>
      <c r="K15" s="319">
        <f t="shared" si="7"/>
        <v>845.00000000000546</v>
      </c>
      <c r="L15" s="313">
        <f t="shared" si="5"/>
        <v>58.680555555555294</v>
      </c>
      <c r="M15" s="350">
        <f>'STS RMG FAULTS'!P18</f>
        <v>2</v>
      </c>
      <c r="N15" s="309">
        <f t="shared" si="6"/>
        <v>0.19560185185184975</v>
      </c>
      <c r="O15" s="314">
        <f t="shared" si="1"/>
        <v>0.20659722222221902</v>
      </c>
      <c r="P15" s="764"/>
      <c r="Q15" s="765"/>
      <c r="R15" s="766"/>
      <c r="S15" s="779" t="str">
        <f>CONCATENATE("STS1905:  ",'STS RMG FAULTS'!B18,"_",'STS RMG FAULTS'!G18,"_",'STS RMG FAULTS'!K18)</f>
        <v>STS1905:  HOIST WIRE ROPE SNAPPED_READY AT 1610HRS/LOWERING_CABLE REEL REEL SPRING SHACKLE SNAPPED</v>
      </c>
      <c r="T15" s="780"/>
      <c r="U15" s="780"/>
      <c r="V15" s="780"/>
      <c r="W15" s="780"/>
      <c r="X15" s="780"/>
      <c r="Y15" s="780"/>
      <c r="Z15" s="781"/>
    </row>
    <row r="16" spans="1:27" s="226" customFormat="1" ht="63.75" customHeight="1">
      <c r="A16" s="832"/>
      <c r="B16" s="832"/>
      <c r="C16" s="839"/>
      <c r="D16" s="764"/>
      <c r="E16" s="765"/>
      <c r="F16" s="766"/>
      <c r="G16" s="309">
        <f t="shared" si="0"/>
        <v>28.958333333333329</v>
      </c>
      <c r="H16" s="309">
        <f>'STS RMG FAULTS'!O19</f>
        <v>0.48263888888888884</v>
      </c>
      <c r="I16" s="310">
        <f t="shared" si="2"/>
        <v>0.48263888888888884</v>
      </c>
      <c r="J16" s="311">
        <f t="shared" si="3"/>
        <v>695.00000000000432</v>
      </c>
      <c r="K16" s="319">
        <f t="shared" si="7"/>
        <v>745.00000000000477</v>
      </c>
      <c r="L16" s="313">
        <f t="shared" si="5"/>
        <v>51.736111111110816</v>
      </c>
      <c r="M16" s="350">
        <f>'STS RMG FAULTS'!P19</f>
        <v>2</v>
      </c>
      <c r="N16" s="309">
        <f t="shared" si="6"/>
        <v>0.17245370370370161</v>
      </c>
      <c r="O16" s="314">
        <f t="shared" si="1"/>
        <v>0.24131944444444126</v>
      </c>
      <c r="P16" s="764"/>
      <c r="Q16" s="765"/>
      <c r="R16" s="766"/>
      <c r="S16" s="779" t="str">
        <f>CONCATENATE("STS2101:  ",'STS RMG FAULTS'!B19,"_",'STS RMG FAULTS'!G19,"_",'STS RMG FAULTS'!K19)</f>
        <v>STS2101:  NIL_LOCK SENSOR OFFSET/CARTENARY WIRE PULLEY DETACHED.OUT AT 1940HRS_OUT</v>
      </c>
      <c r="T16" s="780"/>
      <c r="U16" s="780"/>
      <c r="V16" s="780"/>
      <c r="W16" s="780"/>
      <c r="X16" s="780"/>
      <c r="Y16" s="780"/>
      <c r="Z16" s="781"/>
    </row>
    <row r="17" spans="1:27" s="226" customFormat="1" ht="60" customHeight="1">
      <c r="A17" s="832"/>
      <c r="B17" s="832"/>
      <c r="C17" s="839"/>
      <c r="D17" s="764"/>
      <c r="E17" s="765"/>
      <c r="F17" s="766"/>
      <c r="G17" s="309">
        <f t="shared" si="0"/>
        <v>0</v>
      </c>
      <c r="H17" s="309">
        <f>'STS RMG FAULTS'!O20</f>
        <v>0</v>
      </c>
      <c r="I17" s="310">
        <f t="shared" si="2"/>
        <v>0</v>
      </c>
      <c r="J17" s="311">
        <f t="shared" si="3"/>
        <v>0</v>
      </c>
      <c r="K17" s="312">
        <f t="shared" si="7"/>
        <v>1440.0000000000091</v>
      </c>
      <c r="L17" s="313">
        <f t="shared" si="5"/>
        <v>100</v>
      </c>
      <c r="M17" s="350">
        <f>'STS RMG FAULTS'!P20</f>
        <v>0</v>
      </c>
      <c r="N17" s="309">
        <f t="shared" si="6"/>
        <v>0.99999999999999367</v>
      </c>
      <c r="O17" s="314" t="e">
        <f t="shared" si="1"/>
        <v>#DIV/0!</v>
      </c>
      <c r="P17" s="764"/>
      <c r="Q17" s="765"/>
      <c r="R17" s="766"/>
      <c r="S17" s="779" t="str">
        <f>CONCATENATE("STS2102:  ",'STS RMG FAULTS'!B20,"_",'STS RMG FAULTS'!G20,"_",'STS RMG FAULTS'!K20)</f>
        <v>STS2102:  NIL_NIL_NIL</v>
      </c>
      <c r="T17" s="780"/>
      <c r="U17" s="780"/>
      <c r="V17" s="780"/>
      <c r="W17" s="780"/>
      <c r="X17" s="780"/>
      <c r="Y17" s="780"/>
      <c r="Z17" s="781"/>
    </row>
    <row r="18" spans="1:27" s="226" customFormat="1" ht="60" customHeight="1">
      <c r="A18" s="364"/>
      <c r="B18" s="364"/>
      <c r="C18" s="364"/>
      <c r="D18" s="764"/>
      <c r="E18" s="765"/>
      <c r="F18" s="766"/>
      <c r="G18" s="309">
        <f t="shared" si="0"/>
        <v>19.166666666666668</v>
      </c>
      <c r="H18" s="309">
        <f>'STS RMG FAULTS'!O21</f>
        <v>0.31944444444444442</v>
      </c>
      <c r="I18" s="310">
        <f>H18</f>
        <v>0.31944444444444442</v>
      </c>
      <c r="J18" s="311">
        <f>I18/0.00069444444444444</f>
        <v>460.0000000000029</v>
      </c>
      <c r="K18" s="312">
        <f t="shared" si="7"/>
        <v>980.00000000000625</v>
      </c>
      <c r="L18" s="313">
        <f>((1440-(J18))/1440)*100</f>
        <v>68.055555555555344</v>
      </c>
      <c r="M18" s="350">
        <f>'STS RMG FAULTS'!P21</f>
        <v>2</v>
      </c>
      <c r="N18" s="309">
        <f>((1440-J18)/(M18+1))*0.00069444444444444</f>
        <v>0.22685185185184972</v>
      </c>
      <c r="O18" s="314">
        <f>((1440-K18)/(M18))*0.00069444444444444</f>
        <v>0.15972222222221905</v>
      </c>
      <c r="P18" s="764"/>
      <c r="Q18" s="765"/>
      <c r="R18" s="766"/>
      <c r="S18" s="779" t="str">
        <f>CONCATENATE("STS2103:  ",'STS RMG FAULTS'!B21,"_",'STS RMG FAULTS'!G21,"_",'STS RMG FAULTS'!K21)</f>
        <v>STS2103:  OP. CABIN DOOR REPAIR- AT 1105HRS_READY AT 1915HRS_LOCK SIGNAL</v>
      </c>
      <c r="T18" s="780"/>
      <c r="U18" s="780"/>
      <c r="V18" s="780"/>
      <c r="W18" s="780"/>
      <c r="X18" s="780"/>
      <c r="Y18" s="780"/>
      <c r="Z18" s="781"/>
    </row>
    <row r="19" spans="1:27" s="226" customFormat="1" ht="60" customHeight="1">
      <c r="A19" s="364"/>
      <c r="B19" s="364"/>
      <c r="C19" s="364"/>
      <c r="D19" s="764"/>
      <c r="E19" s="765"/>
      <c r="F19" s="766"/>
      <c r="G19" s="309">
        <f t="shared" si="0"/>
        <v>0</v>
      </c>
      <c r="H19" s="309">
        <f>'STS RMG FAULTS'!O22</f>
        <v>0</v>
      </c>
      <c r="I19" s="310">
        <f t="shared" si="2"/>
        <v>0</v>
      </c>
      <c r="J19" s="311">
        <f>I19/0.00069444444444444</f>
        <v>0</v>
      </c>
      <c r="K19" s="312">
        <f t="shared" si="7"/>
        <v>1440.0000000000091</v>
      </c>
      <c r="L19" s="313">
        <f>((1440-(J19))/1440)*100</f>
        <v>100</v>
      </c>
      <c r="M19" s="350">
        <f>'STS RMG FAULTS'!P22</f>
        <v>0</v>
      </c>
      <c r="N19" s="309">
        <f>((1440-J19)/(M19+1))*0.00069444444444444</f>
        <v>0.99999999999999367</v>
      </c>
      <c r="O19" s="314" t="e">
        <f>((1440-K19)/(M19))*0.00069444444444444</f>
        <v>#DIV/0!</v>
      </c>
      <c r="P19" s="764"/>
      <c r="Q19" s="765"/>
      <c r="R19" s="766"/>
      <c r="S19" s="779" t="str">
        <f>CONCATENATE("STS2201:  ",'STS RMG FAULTS'!B22,"_",'STS RMG FAULTS'!G22,"_",'STS RMG FAULTS'!K22)</f>
        <v>STS2201:  NIL_NIL_NIL</v>
      </c>
      <c r="T19" s="780"/>
      <c r="U19" s="780"/>
      <c r="V19" s="780"/>
      <c r="W19" s="780"/>
      <c r="X19" s="780"/>
      <c r="Y19" s="780"/>
      <c r="Z19" s="781"/>
    </row>
    <row r="20" spans="1:27" s="226" customFormat="1" ht="60" customHeight="1">
      <c r="A20" s="364"/>
      <c r="B20" s="364"/>
      <c r="C20" s="364"/>
      <c r="D20" s="764"/>
      <c r="E20" s="765"/>
      <c r="F20" s="766"/>
      <c r="G20" s="309">
        <f t="shared" si="0"/>
        <v>0</v>
      </c>
      <c r="H20" s="309">
        <f>'STS RMG FAULTS'!O23</f>
        <v>0</v>
      </c>
      <c r="I20" s="310">
        <f t="shared" si="2"/>
        <v>0</v>
      </c>
      <c r="J20" s="311">
        <f>I20/0.00069444444444444</f>
        <v>0</v>
      </c>
      <c r="K20" s="312">
        <f t="shared" si="7"/>
        <v>1440.0000000000091</v>
      </c>
      <c r="L20" s="313">
        <f>((1440-(J20))/1440)*100</f>
        <v>100</v>
      </c>
      <c r="M20" s="350">
        <f>'STS RMG FAULTS'!P23</f>
        <v>0</v>
      </c>
      <c r="N20" s="309">
        <f>((1440-J20)/(M20+1))*0.00069444444444444</f>
        <v>0.99999999999999367</v>
      </c>
      <c r="O20" s="314" t="e">
        <f>((1440-K20)/(M20))*0.00069444444444444</f>
        <v>#DIV/0!</v>
      </c>
      <c r="P20" s="764"/>
      <c r="Q20" s="765"/>
      <c r="R20" s="766"/>
      <c r="S20" s="779" t="str">
        <f>CONCATENATE("STS2202:  ",'STS RMG FAULTS'!B23,"_",'STS RMG FAULTS'!G23,"_",'STS RMG FAULTS'!K23)</f>
        <v>STS2202:  NIL_NIL_NIL</v>
      </c>
      <c r="T20" s="780"/>
      <c r="U20" s="780"/>
      <c r="V20" s="780"/>
      <c r="W20" s="780"/>
      <c r="X20" s="780"/>
      <c r="Y20" s="780"/>
      <c r="Z20" s="781"/>
    </row>
    <row r="21" spans="1:27" s="226" customFormat="1" ht="60" customHeight="1">
      <c r="A21" s="364"/>
      <c r="B21" s="364"/>
      <c r="C21" s="364"/>
      <c r="D21" s="767"/>
      <c r="E21" s="768"/>
      <c r="F21" s="769"/>
      <c r="G21" s="309">
        <f t="shared" si="0"/>
        <v>0</v>
      </c>
      <c r="H21" s="309">
        <f>'STS RMG FAULTS'!O24</f>
        <v>0</v>
      </c>
      <c r="I21" s="310">
        <f t="shared" si="2"/>
        <v>0</v>
      </c>
      <c r="J21" s="311">
        <f>I21/0.00069444444444444</f>
        <v>0</v>
      </c>
      <c r="K21" s="312">
        <f t="shared" si="7"/>
        <v>1440.0000000000091</v>
      </c>
      <c r="L21" s="313">
        <f>((1440-(J21))/1440)*100</f>
        <v>100</v>
      </c>
      <c r="M21" s="350">
        <f>'STS RMG FAULTS'!P24</f>
        <v>0</v>
      </c>
      <c r="N21" s="309">
        <f>((1440-J21)/(M21+1))*0.00069444444444444</f>
        <v>0.99999999999999367</v>
      </c>
      <c r="O21" s="314" t="e">
        <f>((1440-K21)/(M21))*0.00069444444444444</f>
        <v>#DIV/0!</v>
      </c>
      <c r="P21" s="767"/>
      <c r="Q21" s="768"/>
      <c r="R21" s="769"/>
      <c r="S21" s="779" t="str">
        <f>CONCATENATE("STS2203:  ",'STS RMG FAULTS'!B24,"_",'STS RMG FAULTS'!G24,"_",'STS RMG FAULTS'!K24)</f>
        <v>STS2203:  NIL_NIL_NIL</v>
      </c>
      <c r="T21" s="780"/>
      <c r="U21" s="780"/>
      <c r="V21" s="780"/>
      <c r="W21" s="780"/>
      <c r="X21" s="780"/>
      <c r="Y21" s="780"/>
      <c r="Z21" s="781"/>
    </row>
    <row r="22" spans="1:27" s="226" customFormat="1" ht="68.25" customHeight="1" thickBot="1">
      <c r="A22" s="847" t="s">
        <v>11</v>
      </c>
      <c r="B22" s="848"/>
      <c r="C22" s="848"/>
      <c r="D22" s="320">
        <v>8</v>
      </c>
      <c r="E22" s="250">
        <f>'STS RMG FAULTS'!L27+'STS RMG FAULTS'!L28</f>
        <v>7</v>
      </c>
      <c r="F22" s="320">
        <v>8</v>
      </c>
      <c r="G22" s="309">
        <f>SUM(G6:G21)</f>
        <v>89.375</v>
      </c>
      <c r="H22" s="844" t="s">
        <v>120</v>
      </c>
      <c r="I22" s="822"/>
      <c r="J22" s="822"/>
      <c r="K22" s="822"/>
      <c r="L22" s="822"/>
      <c r="M22" s="822"/>
      <c r="N22" s="822"/>
      <c r="O22" s="822"/>
      <c r="P22" s="321"/>
      <c r="Q22" s="321"/>
      <c r="R22" s="321"/>
      <c r="S22" s="825"/>
      <c r="T22" s="825"/>
      <c r="U22" s="825"/>
      <c r="V22" s="825"/>
      <c r="W22" s="825"/>
      <c r="X22" s="825"/>
      <c r="Y22" s="825"/>
      <c r="Z22" s="825"/>
    </row>
    <row r="23" spans="1:27" s="226" customFormat="1" ht="60" customHeight="1">
      <c r="A23" s="241"/>
      <c r="B23" s="287"/>
      <c r="C23" s="287"/>
      <c r="D23" s="346"/>
      <c r="E23" s="347"/>
      <c r="F23" s="845"/>
      <c r="G23" s="309">
        <f>CONVERT(H23,"hr","min")</f>
        <v>60</v>
      </c>
      <c r="H23" s="322">
        <f>'STS RMG FAULTS'!O29</f>
        <v>1</v>
      </c>
      <c r="I23" s="310">
        <f t="shared" ref="I23:I30" si="8">H23</f>
        <v>1</v>
      </c>
      <c r="J23" s="311">
        <f t="shared" ref="J23:J30" si="9">I23/0.00069444444444444</f>
        <v>1440.0000000000091</v>
      </c>
      <c r="K23" s="312">
        <f t="shared" ref="K23:K30" si="10">(1-I23)/0.00069444444444444</f>
        <v>0</v>
      </c>
      <c r="L23" s="313">
        <f t="shared" ref="L23:L30" si="11">((1440-(J23))/1440)*100</f>
        <v>-6.3159354289786681E-13</v>
      </c>
      <c r="M23" s="350">
        <f>'STS RMG FAULTS'!P29</f>
        <v>0</v>
      </c>
      <c r="N23" s="309">
        <f t="shared" ref="N23:N28" si="12">((1440-J23)/(M23+1))*0.00069444444444444</f>
        <v>-6.3159354289786285E-15</v>
      </c>
      <c r="O23" s="309" t="e">
        <f t="shared" ref="O23:O28" si="13">((1440-K23)/(M23))*0.00069444444444444</f>
        <v>#DIV/0!</v>
      </c>
      <c r="P23" s="227">
        <f>AVERAGE(L23:L30)</f>
        <v>86.892361111111029</v>
      </c>
      <c r="Q23" s="315">
        <f>AVERAGEIF(N23:N28,"&gt;0",N23:N28)</f>
        <v>0.89513888888888327</v>
      </c>
      <c r="R23" s="316">
        <f>AVERAGEIF(O23:O28,"&gt;0",O23:O28)</f>
        <v>4.8611111111104804E-2</v>
      </c>
      <c r="S23" s="779" t="str">
        <f>CONCATENATE("RMG05:  ",'STS RMG FAULTS'!B29,"_",'STS RMG FAULTS'!G29,"_",'STS RMG FAULTS'!K29)</f>
        <v>RMG05:  CONTROL ON -OUT_OUT_OUT</v>
      </c>
      <c r="T23" s="780"/>
      <c r="U23" s="780"/>
      <c r="V23" s="780"/>
      <c r="W23" s="780"/>
      <c r="X23" s="780"/>
      <c r="Y23" s="780"/>
      <c r="Z23" s="781"/>
      <c r="AA23" s="823">
        <f>P23/100*8</f>
        <v>6.9513888888888822</v>
      </c>
    </row>
    <row r="24" spans="1:27" s="226" customFormat="1" ht="63.75" customHeight="1" thickBot="1">
      <c r="A24" s="251"/>
      <c r="B24" s="366"/>
      <c r="C24" s="366"/>
      <c r="D24" s="251"/>
      <c r="E24" s="367"/>
      <c r="F24" s="846"/>
      <c r="G24" s="309">
        <f t="shared" ref="G24:G96" si="14">CONVERT(H24,"hr","min")</f>
        <v>2.9166666666666665</v>
      </c>
      <c r="H24" s="322">
        <f>'STS RMG FAULTS'!O30</f>
        <v>4.8611111111111112E-2</v>
      </c>
      <c r="I24" s="310">
        <f t="shared" si="8"/>
        <v>4.8611111111111112E-2</v>
      </c>
      <c r="J24" s="311">
        <f t="shared" si="9"/>
        <v>70.000000000000441</v>
      </c>
      <c r="K24" s="312">
        <f t="shared" si="10"/>
        <v>1370.0000000000086</v>
      </c>
      <c r="L24" s="313">
        <f t="shared" si="11"/>
        <v>95.138888888888857</v>
      </c>
      <c r="M24" s="350">
        <f>'STS RMG FAULTS'!P30</f>
        <v>1</v>
      </c>
      <c r="N24" s="309">
        <f t="shared" si="12"/>
        <v>0.47569444444444126</v>
      </c>
      <c r="O24" s="309">
        <f t="shared" si="13"/>
        <v>4.8611111111104804E-2</v>
      </c>
      <c r="P24" s="234">
        <v>90</v>
      </c>
      <c r="Q24" s="229">
        <v>0.95000000000000007</v>
      </c>
      <c r="R24" s="229">
        <v>3.125E-2</v>
      </c>
      <c r="S24" s="779" t="str">
        <f>CONCATENATE("RMG06:  ",'STS RMG FAULTS'!B30,"_",'STS RMG FAULTS'!G30,"_",'STS RMG FAULTS'!K30)</f>
        <v>RMG06:  NIL_NIL_SLOW MOTION</v>
      </c>
      <c r="T24" s="780"/>
      <c r="U24" s="780"/>
      <c r="V24" s="780"/>
      <c r="W24" s="780"/>
      <c r="X24" s="780"/>
      <c r="Y24" s="780"/>
      <c r="Z24" s="781"/>
      <c r="AA24" s="824"/>
    </row>
    <row r="25" spans="1:27" s="226" customFormat="1" ht="63.75" customHeight="1">
      <c r="A25" s="833" t="s">
        <v>117</v>
      </c>
      <c r="B25" s="833">
        <f>'STS RMG FAULTS'!L27</f>
        <v>5</v>
      </c>
      <c r="C25" s="231"/>
      <c r="D25" s="145" t="s">
        <v>121</v>
      </c>
      <c r="E25" s="835">
        <f>AA23</f>
        <v>6.9513888888888822</v>
      </c>
      <c r="F25" s="846"/>
      <c r="G25" s="309">
        <f t="shared" si="14"/>
        <v>0</v>
      </c>
      <c r="H25" s="322">
        <f>'STS RMG FAULTS'!O31</f>
        <v>0</v>
      </c>
      <c r="I25" s="310">
        <f t="shared" si="8"/>
        <v>0</v>
      </c>
      <c r="J25" s="311">
        <f t="shared" si="9"/>
        <v>0</v>
      </c>
      <c r="K25" s="312">
        <f t="shared" si="10"/>
        <v>1440.0000000000091</v>
      </c>
      <c r="L25" s="313">
        <f t="shared" si="11"/>
        <v>100</v>
      </c>
      <c r="M25" s="350">
        <f>'STS RMG FAULTS'!P31</f>
        <v>0</v>
      </c>
      <c r="N25" s="309">
        <f t="shared" si="12"/>
        <v>0.99999999999999367</v>
      </c>
      <c r="O25" s="309" t="e">
        <f t="shared" si="13"/>
        <v>#DIV/0!</v>
      </c>
      <c r="P25" s="256"/>
      <c r="Q25" s="368"/>
      <c r="R25" s="368"/>
      <c r="S25" s="746" t="str">
        <f>CONCATENATE("RMG07:  ",'STS RMG FAULTS'!B31,"_",'STS RMG FAULTS'!G31,"_",'STS RMG FAULTS'!K31)</f>
        <v>RMG07:  NIL_NIL_NIL</v>
      </c>
      <c r="T25" s="746"/>
      <c r="U25" s="746"/>
      <c r="V25" s="746"/>
      <c r="W25" s="746"/>
      <c r="X25" s="746"/>
      <c r="Y25" s="746"/>
      <c r="Z25" s="746"/>
      <c r="AA25" s="256"/>
    </row>
    <row r="26" spans="1:27" s="226" customFormat="1" ht="63.75" customHeight="1" thickBot="1">
      <c r="A26" s="834"/>
      <c r="B26" s="834"/>
      <c r="C26" s="232">
        <f>AVERAGE(L23:L28)</f>
        <v>82.523148148148039</v>
      </c>
      <c r="D26" s="251"/>
      <c r="E26" s="836"/>
      <c r="F26" s="846"/>
      <c r="G26" s="309">
        <f t="shared" si="14"/>
        <v>0</v>
      </c>
      <c r="H26" s="322">
        <f>'STS RMG FAULTS'!O32</f>
        <v>0</v>
      </c>
      <c r="I26" s="310">
        <f t="shared" si="8"/>
        <v>0</v>
      </c>
      <c r="J26" s="311">
        <f t="shared" si="9"/>
        <v>0</v>
      </c>
      <c r="K26" s="312">
        <f t="shared" si="10"/>
        <v>1440.0000000000091</v>
      </c>
      <c r="L26" s="313">
        <f t="shared" si="11"/>
        <v>100</v>
      </c>
      <c r="M26" s="350">
        <f>'STS RMG FAULTS'!P32</f>
        <v>0</v>
      </c>
      <c r="N26" s="309">
        <f>((1440-J26)/(M26+1))*0.00069444444444444</f>
        <v>0.99999999999999367</v>
      </c>
      <c r="O26" s="309" t="e">
        <f t="shared" si="13"/>
        <v>#DIV/0!</v>
      </c>
      <c r="P26" s="256"/>
      <c r="Q26" s="368"/>
      <c r="R26" s="368"/>
      <c r="S26" s="779" t="str">
        <f>CONCATENATE("RMG08:  ",'STS RMG FAULTS'!B32,"_",'STS RMG FAULTS'!G32,"_",'STS RMG FAULTS'!K32)</f>
        <v>RMG08:  NIL_NIL_NIL</v>
      </c>
      <c r="T26" s="780"/>
      <c r="U26" s="780"/>
      <c r="V26" s="780"/>
      <c r="W26" s="780"/>
      <c r="X26" s="780"/>
      <c r="Y26" s="780"/>
      <c r="Z26" s="781"/>
      <c r="AA26" s="256"/>
    </row>
    <row r="27" spans="1:27" s="226" customFormat="1" ht="63.75" customHeight="1" thickBot="1">
      <c r="A27" s="365"/>
      <c r="B27" s="365"/>
      <c r="C27" s="365"/>
      <c r="D27" s="251"/>
      <c r="E27" s="367"/>
      <c r="F27" s="846"/>
      <c r="G27" s="309">
        <f t="shared" si="14"/>
        <v>0</v>
      </c>
      <c r="H27" s="322">
        <f>'STS RMG FAULTS'!O33</f>
        <v>0</v>
      </c>
      <c r="I27" s="310">
        <f t="shared" si="8"/>
        <v>0</v>
      </c>
      <c r="J27" s="311">
        <f t="shared" si="9"/>
        <v>0</v>
      </c>
      <c r="K27" s="312">
        <f t="shared" si="10"/>
        <v>1440.0000000000091</v>
      </c>
      <c r="L27" s="313">
        <f t="shared" si="11"/>
        <v>100</v>
      </c>
      <c r="M27" s="350">
        <f>'STS RMG FAULTS'!P33</f>
        <v>0</v>
      </c>
      <c r="N27" s="309">
        <f t="shared" si="12"/>
        <v>0.99999999999999367</v>
      </c>
      <c r="O27" s="309" t="e">
        <f t="shared" si="13"/>
        <v>#DIV/0!</v>
      </c>
      <c r="P27" s="256"/>
      <c r="Q27" s="368"/>
      <c r="R27" s="368"/>
      <c r="S27" s="746" t="str">
        <f>CONCATENATE("RMG09:  ",'STS RMG FAULTS'!B33,"_",'STS RMG FAULTS'!G33,"_",'STS RMG FAULTS'!K33)</f>
        <v>RMG09:  NIL_NIL_NIL</v>
      </c>
      <c r="T27" s="746"/>
      <c r="U27" s="746"/>
      <c r="V27" s="746"/>
      <c r="W27" s="746"/>
      <c r="X27" s="746"/>
      <c r="Y27" s="746"/>
      <c r="Z27" s="746"/>
      <c r="AA27" s="256"/>
    </row>
    <row r="28" spans="1:27" s="226" customFormat="1" ht="63.75" customHeight="1">
      <c r="A28" s="833" t="s">
        <v>119</v>
      </c>
      <c r="B28" s="833">
        <f>'STS RMG FAULTS'!L28</f>
        <v>2</v>
      </c>
      <c r="C28" s="231"/>
      <c r="D28" s="251"/>
      <c r="E28" s="367"/>
      <c r="F28" s="846"/>
      <c r="G28" s="309">
        <f t="shared" si="14"/>
        <v>0</v>
      </c>
      <c r="H28" s="322">
        <f>'STS RMG FAULTS'!O34</f>
        <v>0</v>
      </c>
      <c r="I28" s="310">
        <f t="shared" si="8"/>
        <v>0</v>
      </c>
      <c r="J28" s="311">
        <f t="shared" si="9"/>
        <v>0</v>
      </c>
      <c r="K28" s="312">
        <f t="shared" si="10"/>
        <v>1440.0000000000091</v>
      </c>
      <c r="L28" s="313">
        <f t="shared" si="11"/>
        <v>100</v>
      </c>
      <c r="M28" s="350">
        <f>'STS RMG FAULTS'!P34</f>
        <v>0</v>
      </c>
      <c r="N28" s="309">
        <f t="shared" si="12"/>
        <v>0.99999999999999367</v>
      </c>
      <c r="O28" s="309" t="e">
        <f t="shared" si="13"/>
        <v>#DIV/0!</v>
      </c>
      <c r="P28" s="256"/>
      <c r="Q28" s="368"/>
      <c r="R28" s="368"/>
      <c r="S28" s="746" t="str">
        <f>CONCATENATE("RMG10:  ",'STS RMG FAULTS'!B34,"_",'STS RMG FAULTS'!G34,"_",'STS RMG FAULTS'!K34)</f>
        <v>RMG10:  NIL_NIL_NIL</v>
      </c>
      <c r="T28" s="746"/>
      <c r="U28" s="746"/>
      <c r="V28" s="746"/>
      <c r="W28" s="746"/>
      <c r="X28" s="746"/>
      <c r="Y28" s="746"/>
      <c r="Z28" s="746"/>
      <c r="AA28" s="256"/>
    </row>
    <row r="29" spans="1:27" s="226" customFormat="1" ht="63.75" customHeight="1" thickBot="1">
      <c r="A29" s="834"/>
      <c r="B29" s="834"/>
      <c r="C29" s="232">
        <f>AVERAGE(L29:L30)</f>
        <v>100</v>
      </c>
      <c r="D29" s="251"/>
      <c r="E29" s="367"/>
      <c r="F29" s="353"/>
      <c r="G29" s="309">
        <f t="shared" si="14"/>
        <v>0</v>
      </c>
      <c r="H29" s="322">
        <f>'STS RMG FAULTS'!O35</f>
        <v>0</v>
      </c>
      <c r="I29" s="310">
        <f t="shared" si="8"/>
        <v>0</v>
      </c>
      <c r="J29" s="311">
        <f t="shared" si="9"/>
        <v>0</v>
      </c>
      <c r="K29" s="312">
        <f t="shared" si="10"/>
        <v>1440.0000000000091</v>
      </c>
      <c r="L29" s="313">
        <f t="shared" si="11"/>
        <v>100</v>
      </c>
      <c r="M29" s="350">
        <f>'STS RMG FAULTS'!P35</f>
        <v>0</v>
      </c>
      <c r="N29" s="309">
        <f>((1440-J29)/(M29+1))*0.00069444444444444</f>
        <v>0.99999999999999367</v>
      </c>
      <c r="O29" s="309" t="e">
        <f>((1440-K29)/(M29))*0.00069444444444444</f>
        <v>#DIV/0!</v>
      </c>
      <c r="P29" s="256"/>
      <c r="Q29" s="368"/>
      <c r="R29" s="368"/>
      <c r="S29" s="746" t="str">
        <f>CONCATENATE("RMG2-11:  ",'STS RMG FAULTS'!B35,"_",'STS RMG FAULTS'!G35,"_",'STS RMG FAULTS'!K35)</f>
        <v>RMG2-11:  NIL_NIL_NIL</v>
      </c>
      <c r="T29" s="746"/>
      <c r="U29" s="746"/>
      <c r="V29" s="746"/>
      <c r="W29" s="746"/>
      <c r="X29" s="746"/>
      <c r="Y29" s="746"/>
      <c r="Z29" s="746"/>
      <c r="AA29" s="256"/>
    </row>
    <row r="30" spans="1:27" s="226" customFormat="1" ht="63.75" customHeight="1">
      <c r="A30" s="349"/>
      <c r="B30" s="231"/>
      <c r="C30" s="231"/>
      <c r="D30" s="252"/>
      <c r="E30" s="253"/>
      <c r="F30" s="323"/>
      <c r="G30" s="309">
        <f t="shared" si="14"/>
        <v>0</v>
      </c>
      <c r="H30" s="322">
        <f>'STS RMG FAULTS'!O36</f>
        <v>0</v>
      </c>
      <c r="I30" s="310">
        <f t="shared" si="8"/>
        <v>0</v>
      </c>
      <c r="J30" s="311">
        <f t="shared" si="9"/>
        <v>0</v>
      </c>
      <c r="K30" s="312">
        <f t="shared" si="10"/>
        <v>1440.0000000000091</v>
      </c>
      <c r="L30" s="313">
        <f t="shared" si="11"/>
        <v>100</v>
      </c>
      <c r="M30" s="350">
        <f>'STS RMG FAULTS'!P36</f>
        <v>0</v>
      </c>
      <c r="N30" s="309">
        <f>((1440-J30)/(M30+1))*0.00069444444444444</f>
        <v>0.99999999999999367</v>
      </c>
      <c r="O30" s="309" t="e">
        <f>((1440-K30)/(M30))*0.00069444444444444</f>
        <v>#DIV/0!</v>
      </c>
      <c r="P30" s="256"/>
      <c r="Q30" s="368"/>
      <c r="R30" s="368"/>
      <c r="S30" s="746" t="str">
        <f>CONCATENATE("RMG2-12:  ",'STS RMG FAULTS'!B36,"_",'STS RMG FAULTS'!G36,"_",'STS RMG FAULTS'!K36)</f>
        <v>RMG2-12:  NIL_NIL_NIL</v>
      </c>
      <c r="T30" s="746"/>
      <c r="U30" s="746"/>
      <c r="V30" s="746"/>
      <c r="W30" s="746"/>
      <c r="X30" s="746"/>
      <c r="Y30" s="746"/>
      <c r="Z30" s="746"/>
      <c r="AA30" s="256"/>
    </row>
    <row r="31" spans="1:27" s="226" customFormat="1" ht="63.75" customHeight="1" thickBot="1">
      <c r="A31" s="747" t="s">
        <v>13</v>
      </c>
      <c r="B31" s="748"/>
      <c r="C31" s="748"/>
      <c r="D31" s="324">
        <v>52</v>
      </c>
      <c r="E31" s="233">
        <f>'RTG&amp;HARBOUR FAULTS'!K6+'RTG&amp;HARBOUR FAULTS'!K7</f>
        <v>43</v>
      </c>
      <c r="F31" s="324">
        <v>40</v>
      </c>
      <c r="G31" s="309">
        <f>SUM(G23:G30)</f>
        <v>62.916666666666664</v>
      </c>
      <c r="H31" s="844" t="s">
        <v>122</v>
      </c>
      <c r="I31" s="822"/>
      <c r="J31" s="822"/>
      <c r="K31" s="822"/>
      <c r="L31" s="822"/>
      <c r="M31" s="822"/>
      <c r="N31" s="822"/>
      <c r="O31" s="822"/>
      <c r="P31" s="369"/>
      <c r="Q31" s="369"/>
      <c r="R31" s="369"/>
      <c r="S31" s="825"/>
      <c r="T31" s="825"/>
      <c r="U31" s="825"/>
      <c r="V31" s="825"/>
      <c r="W31" s="825"/>
      <c r="X31" s="825"/>
      <c r="Y31" s="825"/>
      <c r="Z31" s="825"/>
    </row>
    <row r="32" spans="1:27" s="226" customFormat="1" ht="68.25" customHeight="1">
      <c r="A32" s="829"/>
      <c r="B32" s="830"/>
      <c r="C32" s="838"/>
      <c r="D32" s="764"/>
      <c r="E32" s="765"/>
      <c r="F32" s="766"/>
      <c r="G32" s="309">
        <f t="shared" si="14"/>
        <v>0</v>
      </c>
      <c r="H32" s="309">
        <f>'RTG&amp;HARBOUR FAULTS'!N10</f>
        <v>0</v>
      </c>
      <c r="I32" s="310">
        <f>H32</f>
        <v>0</v>
      </c>
      <c r="J32" s="311">
        <f t="shared" ref="J32:J97" si="15">I32/0.00069444444444444</f>
        <v>0</v>
      </c>
      <c r="K32" s="312">
        <f t="shared" ref="K32:K79" si="16">(1-I32)/0.00069444444444444</f>
        <v>1440.0000000000091</v>
      </c>
      <c r="L32" s="313">
        <f>((1440-(J32))/1440)*100</f>
        <v>100</v>
      </c>
      <c r="M32" s="350">
        <f>'RTG&amp;HARBOUR FAULTS'!O10</f>
        <v>0</v>
      </c>
      <c r="N32" s="309">
        <f>((1440-J32)/(M32+1))*0.00069444444444444</f>
        <v>0.99999999999999367</v>
      </c>
      <c r="O32" s="309" t="e">
        <f>((1440-K32)/(M32))*0.00069444444444444</f>
        <v>#DIV/0!</v>
      </c>
      <c r="P32" s="227">
        <f>AVERAGE(L32:L92)</f>
        <v>75.893670309653757</v>
      </c>
      <c r="Q32" s="315">
        <f>AVERAGEIF(N32:N79,"&gt;0",N32:N79)</f>
        <v>0.82602294389977637</v>
      </c>
      <c r="R32" s="316">
        <f>AVERAGEIF(O32:O79,"&gt;0",O32:O79)</f>
        <v>2.0726981351981175</v>
      </c>
      <c r="S32" s="746" t="str">
        <f>CONCATENATE("RTG12:  ",'RTG&amp;HARBOUR FAULTS'!B10,"_",'RTG&amp;HARBOUR FAULTS'!F10,"_",'RTG&amp;HARBOUR FAULTS'!J10)</f>
        <v>RTG12:  NIL_NIL_NIL</v>
      </c>
      <c r="T32" s="746"/>
      <c r="U32" s="746"/>
      <c r="V32" s="746"/>
      <c r="W32" s="746"/>
      <c r="X32" s="746"/>
      <c r="Y32" s="746"/>
      <c r="Z32" s="746"/>
    </row>
    <row r="33" spans="1:27" s="226" customFormat="1" ht="68.25" customHeight="1" thickBot="1">
      <c r="A33" s="831"/>
      <c r="B33" s="832"/>
      <c r="C33" s="839"/>
      <c r="D33" s="764"/>
      <c r="E33" s="765"/>
      <c r="F33" s="766"/>
      <c r="G33" s="309">
        <f t="shared" si="14"/>
        <v>0</v>
      </c>
      <c r="H33" s="309">
        <f>'RTG&amp;HARBOUR FAULTS'!N11</f>
        <v>0</v>
      </c>
      <c r="I33" s="310">
        <f t="shared" ref="I33:I42" si="17">H33</f>
        <v>0</v>
      </c>
      <c r="J33" s="311">
        <f t="shared" si="15"/>
        <v>0</v>
      </c>
      <c r="K33" s="312">
        <f t="shared" si="16"/>
        <v>1440.0000000000091</v>
      </c>
      <c r="L33" s="313">
        <f t="shared" ref="L33:L83" si="18">((1440-(J33))/1440)*100</f>
        <v>100</v>
      </c>
      <c r="M33" s="350">
        <f>'RTG&amp;HARBOUR FAULTS'!O11</f>
        <v>0</v>
      </c>
      <c r="N33" s="309">
        <f t="shared" ref="N33:N83" si="19">((1440-J33)/(M33+1))*0.00069444444444444</f>
        <v>0.99999999999999367</v>
      </c>
      <c r="O33" s="309" t="e">
        <f t="shared" ref="O33:O83" si="20">((1440-K33)/(M33))*0.00069444444444444</f>
        <v>#DIV/0!</v>
      </c>
      <c r="P33" s="655">
        <v>90</v>
      </c>
      <c r="Q33" s="656">
        <v>0.86944444444444446</v>
      </c>
      <c r="R33" s="656">
        <v>3.125E-2</v>
      </c>
      <c r="S33" s="746" t="str">
        <f>CONCATENATE("RTG13:  ",'RTG&amp;HARBOUR FAULTS'!B11,"_",'RTG&amp;HARBOUR FAULTS'!F11,"_",'RTG&amp;HARBOUR FAULTS'!J11)</f>
        <v>RTG13:  NIL_NIL_NIL</v>
      </c>
      <c r="T33" s="746"/>
      <c r="U33" s="746"/>
      <c r="V33" s="746"/>
      <c r="W33" s="746"/>
      <c r="X33" s="746"/>
      <c r="Y33" s="746"/>
      <c r="Z33" s="746"/>
    </row>
    <row r="34" spans="1:27" s="226" customFormat="1" ht="68.25" customHeight="1" thickBot="1">
      <c r="A34" s="841" t="s">
        <v>117</v>
      </c>
      <c r="B34" s="833">
        <f>'RTG&amp;HARBOUR FAULTS'!K6</f>
        <v>22</v>
      </c>
      <c r="C34" s="236"/>
      <c r="D34" s="325" t="s">
        <v>118</v>
      </c>
      <c r="E34" s="835">
        <f>AA35</f>
        <v>39.464708561019954</v>
      </c>
      <c r="F34" s="840"/>
      <c r="G34" s="309">
        <f t="shared" si="14"/>
        <v>0</v>
      </c>
      <c r="H34" s="309">
        <f>'RTG&amp;HARBOUR FAULTS'!N12</f>
        <v>0</v>
      </c>
      <c r="I34" s="310">
        <f t="shared" si="17"/>
        <v>0</v>
      </c>
      <c r="J34" s="311">
        <f t="shared" si="15"/>
        <v>0</v>
      </c>
      <c r="K34" s="312">
        <f t="shared" si="16"/>
        <v>1440.0000000000091</v>
      </c>
      <c r="L34" s="313">
        <f t="shared" si="18"/>
        <v>100</v>
      </c>
      <c r="M34" s="350">
        <f>'RTG&amp;HARBOUR FAULTS'!O12</f>
        <v>0</v>
      </c>
      <c r="N34" s="309">
        <f t="shared" si="19"/>
        <v>0.99999999999999367</v>
      </c>
      <c r="O34" s="314" t="e">
        <f t="shared" si="20"/>
        <v>#DIV/0!</v>
      </c>
      <c r="P34" s="752"/>
      <c r="Q34" s="753"/>
      <c r="R34" s="754"/>
      <c r="S34" s="781" t="str">
        <f>CONCATENATE("RTG14:  ",'RTG&amp;HARBOUR FAULTS'!B12,"_",'RTG&amp;HARBOUR FAULTS'!F12,"_",'RTG&amp;HARBOUR FAULTS'!J12)</f>
        <v>RTG14:  NIL_NIL_NIL</v>
      </c>
      <c r="T34" s="746"/>
      <c r="U34" s="746"/>
      <c r="V34" s="746"/>
      <c r="W34" s="746"/>
      <c r="X34" s="746"/>
      <c r="Y34" s="746"/>
      <c r="Z34" s="746"/>
    </row>
    <row r="35" spans="1:27" s="226" customFormat="1" ht="68.25" customHeight="1" thickBot="1">
      <c r="A35" s="850"/>
      <c r="B35" s="834"/>
      <c r="C35" s="232">
        <f>AVERAGE(L32,L33,L34,L35,L36,L37,L38,L39,L40,L41,L42,L43,L44,L45,L46,L47,L48,L49,L50,L51,L52,L53,L54,L55,L56,L57,L58,L59,L60,L61,L62,L63)</f>
        <v>67.263454861110901</v>
      </c>
      <c r="D35" s="326"/>
      <c r="E35" s="851"/>
      <c r="F35" s="840"/>
      <c r="G35" s="309">
        <f t="shared" si="14"/>
        <v>0</v>
      </c>
      <c r="H35" s="309">
        <f>'RTG&amp;HARBOUR FAULTS'!N13</f>
        <v>0</v>
      </c>
      <c r="I35" s="310">
        <f t="shared" si="17"/>
        <v>0</v>
      </c>
      <c r="J35" s="311">
        <f t="shared" si="15"/>
        <v>0</v>
      </c>
      <c r="K35" s="312">
        <f t="shared" si="16"/>
        <v>1440.0000000000091</v>
      </c>
      <c r="L35" s="313">
        <f t="shared" si="18"/>
        <v>100</v>
      </c>
      <c r="M35" s="350">
        <f>'RTG&amp;HARBOUR FAULTS'!O13</f>
        <v>0</v>
      </c>
      <c r="N35" s="309">
        <f t="shared" si="19"/>
        <v>0.99999999999999367</v>
      </c>
      <c r="O35" s="314" t="e">
        <f t="shared" si="20"/>
        <v>#DIV/0!</v>
      </c>
      <c r="P35" s="755"/>
      <c r="Q35" s="756"/>
      <c r="R35" s="757"/>
      <c r="S35" s="781" t="str">
        <f>CONCATENATE("RTG15:  ",'RTG&amp;HARBOUR FAULTS'!B13,"_",'RTG&amp;HARBOUR FAULTS'!F13,"_",'RTG&amp;HARBOUR FAULTS'!J13)</f>
        <v>RTG15:  NIL_NIL_NIL</v>
      </c>
      <c r="T35" s="746"/>
      <c r="U35" s="746"/>
      <c r="V35" s="746"/>
      <c r="W35" s="746"/>
      <c r="X35" s="746"/>
      <c r="Y35" s="746"/>
      <c r="Z35" s="746"/>
      <c r="AA35" s="823">
        <f>P32/100*52</f>
        <v>39.464708561019954</v>
      </c>
    </row>
    <row r="36" spans="1:27" s="226" customFormat="1" ht="68.25" customHeight="1" thickBot="1">
      <c r="A36" s="237"/>
      <c r="B36" s="365"/>
      <c r="C36" s="365"/>
      <c r="D36" s="326"/>
      <c r="E36" s="287"/>
      <c r="F36" s="654"/>
      <c r="G36" s="322">
        <f t="shared" si="14"/>
        <v>0</v>
      </c>
      <c r="H36" s="322">
        <f>'RTG&amp;HARBOUR FAULTS'!N14</f>
        <v>0</v>
      </c>
      <c r="I36" s="310">
        <f>H36</f>
        <v>0</v>
      </c>
      <c r="J36" s="311">
        <f t="shared" si="15"/>
        <v>0</v>
      </c>
      <c r="K36" s="312">
        <f t="shared" si="16"/>
        <v>1440.0000000000091</v>
      </c>
      <c r="L36" s="313">
        <f t="shared" si="18"/>
        <v>100</v>
      </c>
      <c r="M36" s="350">
        <f>'RTG&amp;HARBOUR FAULTS'!O14</f>
        <v>0</v>
      </c>
      <c r="N36" s="309">
        <f t="shared" si="19"/>
        <v>0.99999999999999367</v>
      </c>
      <c r="O36" s="314" t="e">
        <f t="shared" si="20"/>
        <v>#DIV/0!</v>
      </c>
      <c r="P36" s="755"/>
      <c r="Q36" s="756"/>
      <c r="R36" s="757"/>
      <c r="S36" s="781" t="str">
        <f>CONCATENATE("RTG16:  ",'RTG&amp;HARBOUR FAULTS'!B14,"_",'RTG&amp;HARBOUR FAULTS'!F14,"_",'RTG&amp;HARBOUR FAULTS'!J14)</f>
        <v>RTG16:  NIL_NIL_NIL</v>
      </c>
      <c r="T36" s="746"/>
      <c r="U36" s="746"/>
      <c r="V36" s="746"/>
      <c r="W36" s="746"/>
      <c r="X36" s="746"/>
      <c r="Y36" s="746"/>
      <c r="Z36" s="746"/>
      <c r="AA36" s="824"/>
    </row>
    <row r="37" spans="1:27" s="226" customFormat="1" ht="68.25" customHeight="1">
      <c r="A37" s="841" t="s">
        <v>123</v>
      </c>
      <c r="B37" s="833">
        <f>'RTG&amp;HARBOUR FAULTS'!K7</f>
        <v>21</v>
      </c>
      <c r="C37" s="365"/>
      <c r="D37" s="251"/>
      <c r="E37" s="366"/>
      <c r="F37" s="317"/>
      <c r="G37" s="322">
        <f t="shared" si="14"/>
        <v>0</v>
      </c>
      <c r="H37" s="322">
        <f>'RTG&amp;HARBOUR FAULTS'!N15</f>
        <v>0</v>
      </c>
      <c r="I37" s="310">
        <f t="shared" si="17"/>
        <v>0</v>
      </c>
      <c r="J37" s="311">
        <f t="shared" si="15"/>
        <v>0</v>
      </c>
      <c r="K37" s="312">
        <f t="shared" si="16"/>
        <v>1440.0000000000091</v>
      </c>
      <c r="L37" s="313">
        <f t="shared" si="18"/>
        <v>100</v>
      </c>
      <c r="M37" s="350">
        <f>'RTG&amp;HARBOUR FAULTS'!O15</f>
        <v>0</v>
      </c>
      <c r="N37" s="309">
        <f t="shared" si="19"/>
        <v>0.99999999999999367</v>
      </c>
      <c r="O37" s="314" t="e">
        <f t="shared" si="20"/>
        <v>#DIV/0!</v>
      </c>
      <c r="P37" s="755"/>
      <c r="Q37" s="756"/>
      <c r="R37" s="757"/>
      <c r="S37" s="781" t="str">
        <f>CONCATENATE("RTG17:  ",'RTG&amp;HARBOUR FAULTS'!B15,"_",'RTG&amp;HARBOUR FAULTS'!F15,"_",'RTG&amp;HARBOUR FAULTS'!J15)</f>
        <v>RTG17:  NIL_NIL_NIL</v>
      </c>
      <c r="T37" s="746"/>
      <c r="U37" s="746"/>
      <c r="V37" s="746"/>
      <c r="W37" s="746"/>
      <c r="X37" s="746"/>
      <c r="Y37" s="746"/>
      <c r="Z37" s="746"/>
    </row>
    <row r="38" spans="1:27" s="226" customFormat="1" ht="68.25" customHeight="1">
      <c r="A38" s="842"/>
      <c r="B38" s="843"/>
      <c r="C38" s="511">
        <f>AVERAGE(L64,L65,L66,L67,L68,L69,L70,L71,L72,L73,L74,L75,L76,L77,L78,L79,L80,L81,L82,L83)</f>
        <v>78.854166666666544</v>
      </c>
      <c r="D38" s="251"/>
      <c r="E38" s="366"/>
      <c r="F38" s="317"/>
      <c r="G38" s="322">
        <f t="shared" si="14"/>
        <v>60</v>
      </c>
      <c r="H38" s="322">
        <f>'RTG&amp;HARBOUR FAULTS'!N16</f>
        <v>1</v>
      </c>
      <c r="I38" s="310">
        <f t="shared" si="17"/>
        <v>1</v>
      </c>
      <c r="J38" s="311">
        <f t="shared" si="15"/>
        <v>1440.0000000000091</v>
      </c>
      <c r="K38" s="312">
        <f t="shared" si="16"/>
        <v>0</v>
      </c>
      <c r="L38" s="313">
        <f t="shared" si="18"/>
        <v>-6.3159354289786681E-13</v>
      </c>
      <c r="M38" s="350">
        <f>'RTG&amp;HARBOUR FAULTS'!O16</f>
        <v>0</v>
      </c>
      <c r="N38" s="309">
        <f t="shared" si="19"/>
        <v>-6.3159354289786285E-15</v>
      </c>
      <c r="O38" s="314" t="e">
        <f t="shared" si="20"/>
        <v>#DIV/0!</v>
      </c>
      <c r="P38" s="755"/>
      <c r="Q38" s="756"/>
      <c r="R38" s="757"/>
      <c r="S38" s="781" t="str">
        <f>CONCATENATE("RTG18:  ",'RTG&amp;HARBOUR FAULTS'!B16,"_",'RTG&amp;HARBOUR FAULTS'!F16,"_",'RTG&amp;HARBOUR FAULTS'!J16)</f>
        <v>RTG18:  TRAVELLING.OUT_OUT_OUT</v>
      </c>
      <c r="T38" s="746"/>
      <c r="U38" s="746"/>
      <c r="V38" s="746"/>
      <c r="W38" s="746"/>
      <c r="X38" s="746"/>
      <c r="Y38" s="746"/>
      <c r="Z38" s="746"/>
    </row>
    <row r="39" spans="1:27" s="226" customFormat="1" ht="68.25" customHeight="1">
      <c r="A39" s="829"/>
      <c r="B39" s="830"/>
      <c r="C39" s="838"/>
      <c r="D39" s="251"/>
      <c r="E39" s="366"/>
      <c r="F39" s="317"/>
      <c r="G39" s="322">
        <f t="shared" si="14"/>
        <v>0</v>
      </c>
      <c r="H39" s="322">
        <f>'RTG&amp;HARBOUR FAULTS'!N17</f>
        <v>0</v>
      </c>
      <c r="I39" s="310">
        <f>H39</f>
        <v>0</v>
      </c>
      <c r="J39" s="311">
        <f t="shared" si="15"/>
        <v>0</v>
      </c>
      <c r="K39" s="312">
        <f t="shared" si="16"/>
        <v>1440.0000000000091</v>
      </c>
      <c r="L39" s="313">
        <f t="shared" si="18"/>
        <v>100</v>
      </c>
      <c r="M39" s="350">
        <f>'RTG&amp;HARBOUR FAULTS'!O17</f>
        <v>0</v>
      </c>
      <c r="N39" s="309">
        <f t="shared" si="19"/>
        <v>0.99999999999999367</v>
      </c>
      <c r="O39" s="314" t="e">
        <f t="shared" si="20"/>
        <v>#DIV/0!</v>
      </c>
      <c r="P39" s="755"/>
      <c r="Q39" s="756"/>
      <c r="R39" s="757"/>
      <c r="S39" s="781" t="str">
        <f>CONCATENATE("RTG19:  ",'RTG&amp;HARBOUR FAULTS'!B17,"_",'RTG&amp;HARBOUR FAULTS'!F17,"_",'RTG&amp;HARBOUR FAULTS'!J17)</f>
        <v>RTG19:  REHABILITATION.OUT_OUT_OUT</v>
      </c>
      <c r="T39" s="746"/>
      <c r="U39" s="746"/>
      <c r="V39" s="746"/>
      <c r="W39" s="746"/>
      <c r="X39" s="746"/>
      <c r="Y39" s="746"/>
      <c r="Z39" s="746"/>
    </row>
    <row r="40" spans="1:27" s="226" customFormat="1" ht="68.25" customHeight="1">
      <c r="A40" s="831"/>
      <c r="B40" s="832"/>
      <c r="C40" s="839"/>
      <c r="D40" s="251"/>
      <c r="E40" s="366"/>
      <c r="F40" s="317"/>
      <c r="G40" s="322">
        <f t="shared" si="14"/>
        <v>60</v>
      </c>
      <c r="H40" s="322">
        <f>'RTG&amp;HARBOUR FAULTS'!N18</f>
        <v>1</v>
      </c>
      <c r="I40" s="310">
        <f t="shared" si="17"/>
        <v>1</v>
      </c>
      <c r="J40" s="311">
        <f t="shared" si="15"/>
        <v>1440.0000000000091</v>
      </c>
      <c r="K40" s="312">
        <f t="shared" si="16"/>
        <v>0</v>
      </c>
      <c r="L40" s="313">
        <f t="shared" si="18"/>
        <v>-6.3159354289786681E-13</v>
      </c>
      <c r="M40" s="350">
        <f>'RTG&amp;HARBOUR FAULTS'!O18</f>
        <v>0</v>
      </c>
      <c r="N40" s="309">
        <f t="shared" si="19"/>
        <v>-6.3159354289786285E-15</v>
      </c>
      <c r="O40" s="314" t="e">
        <f t="shared" si="20"/>
        <v>#DIV/0!</v>
      </c>
      <c r="P40" s="755"/>
      <c r="Q40" s="756"/>
      <c r="R40" s="757"/>
      <c r="S40" s="781" t="str">
        <f>CONCATENATE("RTG20:  ",'RTG&amp;HARBOUR FAULTS'!B18,"_",'RTG&amp;HARBOUR FAULTS'!F18,"_",'RTG&amp;HARBOUR FAULTS'!J18)</f>
        <v>RTG20:  TROLLEY-OUT_OUT_OUT</v>
      </c>
      <c r="T40" s="746"/>
      <c r="U40" s="746"/>
      <c r="V40" s="746"/>
      <c r="W40" s="746"/>
      <c r="X40" s="746"/>
      <c r="Y40" s="746"/>
      <c r="Z40" s="746"/>
    </row>
    <row r="41" spans="1:27" s="226" customFormat="1" ht="68.25" customHeight="1">
      <c r="A41" s="831"/>
      <c r="B41" s="832"/>
      <c r="C41" s="839"/>
      <c r="D41" s="251"/>
      <c r="E41" s="366"/>
      <c r="F41" s="317"/>
      <c r="G41" s="322">
        <f t="shared" si="14"/>
        <v>0</v>
      </c>
      <c r="H41" s="322">
        <f>'RTG&amp;HARBOUR FAULTS'!N19</f>
        <v>0</v>
      </c>
      <c r="I41" s="310">
        <f t="shared" si="17"/>
        <v>0</v>
      </c>
      <c r="J41" s="311">
        <f t="shared" si="15"/>
        <v>0</v>
      </c>
      <c r="K41" s="312">
        <f t="shared" si="16"/>
        <v>1440.0000000000091</v>
      </c>
      <c r="L41" s="313">
        <f t="shared" si="18"/>
        <v>100</v>
      </c>
      <c r="M41" s="350">
        <f>'RTG&amp;HARBOUR FAULTS'!O19</f>
        <v>0</v>
      </c>
      <c r="N41" s="309">
        <f t="shared" si="19"/>
        <v>0.99999999999999367</v>
      </c>
      <c r="O41" s="314" t="e">
        <f t="shared" si="20"/>
        <v>#DIV/0!</v>
      </c>
      <c r="P41" s="755"/>
      <c r="Q41" s="756"/>
      <c r="R41" s="757"/>
      <c r="S41" s="781" t="str">
        <f>CONCATENATE("RTG21:  ",'RTG&amp;HARBOUR FAULTS'!B19,"_",'RTG&amp;HARBOUR FAULTS'!F19,"_",'RTG&amp;HARBOUR FAULTS'!J19)</f>
        <v>RTG21:  NIL_NIL_NIL</v>
      </c>
      <c r="T41" s="746"/>
      <c r="U41" s="746"/>
      <c r="V41" s="746"/>
      <c r="W41" s="746"/>
      <c r="X41" s="746"/>
      <c r="Y41" s="746"/>
      <c r="Z41" s="746"/>
    </row>
    <row r="42" spans="1:27" s="226" customFormat="1" ht="68.25" customHeight="1">
      <c r="A42" s="831"/>
      <c r="B42" s="832"/>
      <c r="C42" s="839"/>
      <c r="D42" s="251"/>
      <c r="E42" s="366"/>
      <c r="F42" s="317"/>
      <c r="G42" s="322">
        <f t="shared" si="14"/>
        <v>60</v>
      </c>
      <c r="H42" s="322">
        <f>'RTG&amp;HARBOUR FAULTS'!N20</f>
        <v>1</v>
      </c>
      <c r="I42" s="310">
        <f t="shared" si="17"/>
        <v>1</v>
      </c>
      <c r="J42" s="311">
        <f t="shared" si="15"/>
        <v>1440.0000000000091</v>
      </c>
      <c r="K42" s="312">
        <f t="shared" si="16"/>
        <v>0</v>
      </c>
      <c r="L42" s="313">
        <f t="shared" si="18"/>
        <v>-6.3159354289786681E-13</v>
      </c>
      <c r="M42" s="350">
        <f>'RTG&amp;HARBOUR FAULTS'!O20</f>
        <v>0</v>
      </c>
      <c r="N42" s="309">
        <f t="shared" si="19"/>
        <v>-6.3159354289786285E-15</v>
      </c>
      <c r="O42" s="314" t="e">
        <f t="shared" si="20"/>
        <v>#DIV/0!</v>
      </c>
      <c r="P42" s="755"/>
      <c r="Q42" s="756"/>
      <c r="R42" s="757"/>
      <c r="S42" s="781" t="str">
        <f>CONCATENATE("RTG22:  ",'RTG&amp;HARBOUR FAULTS'!B20,"_",'RTG&amp;HARBOUR FAULTS'!F20,"_",'RTG&amp;HARBOUR FAULTS'!J20)</f>
        <v>RTG22:  ENGINE STARTING-OUT _OUT_OUT</v>
      </c>
      <c r="T42" s="746"/>
      <c r="U42" s="746"/>
      <c r="V42" s="746"/>
      <c r="W42" s="746"/>
      <c r="X42" s="746"/>
      <c r="Y42" s="746"/>
      <c r="Z42" s="746"/>
    </row>
    <row r="43" spans="1:27" s="226" customFormat="1" ht="68.25" customHeight="1">
      <c r="A43" s="831"/>
      <c r="B43" s="832"/>
      <c r="C43" s="839"/>
      <c r="D43" s="251"/>
      <c r="E43" s="366"/>
      <c r="F43" s="317"/>
      <c r="G43" s="322">
        <f t="shared" si="14"/>
        <v>60</v>
      </c>
      <c r="H43" s="322">
        <f>'RTG&amp;HARBOUR FAULTS'!N21</f>
        <v>1</v>
      </c>
      <c r="I43" s="310">
        <f t="shared" ref="I43:I79" si="21">H43</f>
        <v>1</v>
      </c>
      <c r="J43" s="311">
        <f t="shared" si="15"/>
        <v>1440.0000000000091</v>
      </c>
      <c r="K43" s="312">
        <f t="shared" si="16"/>
        <v>0</v>
      </c>
      <c r="L43" s="313">
        <f t="shared" si="18"/>
        <v>-6.3159354289786681E-13</v>
      </c>
      <c r="M43" s="350">
        <f>'RTG&amp;HARBOUR FAULTS'!O21</f>
        <v>0</v>
      </c>
      <c r="N43" s="309">
        <f t="shared" si="19"/>
        <v>-6.3159354289786285E-15</v>
      </c>
      <c r="O43" s="314" t="e">
        <f t="shared" si="20"/>
        <v>#DIV/0!</v>
      </c>
      <c r="P43" s="755"/>
      <c r="Q43" s="756"/>
      <c r="R43" s="757"/>
      <c r="S43" s="781" t="str">
        <f>CONCATENATE("RTG23:  ",'RTG&amp;HARBOUR FAULTS'!B21,"_",'RTG&amp;HARBOUR FAULTS'!F21,"_",'RTG&amp;HARBOUR FAULTS'!J21)</f>
        <v>RTG23:  ENGINE STARTING-OUT _OUT_OUT</v>
      </c>
      <c r="T43" s="746"/>
      <c r="U43" s="746"/>
      <c r="V43" s="746"/>
      <c r="W43" s="746"/>
      <c r="X43" s="746"/>
      <c r="Y43" s="746"/>
      <c r="Z43" s="746"/>
    </row>
    <row r="44" spans="1:27" s="226" customFormat="1" ht="68.25" customHeight="1">
      <c r="A44" s="831"/>
      <c r="B44" s="832"/>
      <c r="C44" s="839"/>
      <c r="D44" s="251"/>
      <c r="E44" s="366"/>
      <c r="F44" s="317"/>
      <c r="G44" s="322">
        <f t="shared" si="14"/>
        <v>8.75</v>
      </c>
      <c r="H44" s="322">
        <f>'RTG&amp;HARBOUR FAULTS'!N22</f>
        <v>0.14583333333333334</v>
      </c>
      <c r="I44" s="310">
        <f t="shared" si="21"/>
        <v>0.14583333333333334</v>
      </c>
      <c r="J44" s="311">
        <f t="shared" si="15"/>
        <v>210.00000000000134</v>
      </c>
      <c r="K44" s="312">
        <f t="shared" si="16"/>
        <v>1230.0000000000077</v>
      </c>
      <c r="L44" s="313">
        <f t="shared" si="18"/>
        <v>85.416666666666572</v>
      </c>
      <c r="M44" s="350">
        <f>'RTG&amp;HARBOUR FAULTS'!O22</f>
        <v>1</v>
      </c>
      <c r="N44" s="309">
        <f t="shared" si="19"/>
        <v>0.42708333333333015</v>
      </c>
      <c r="O44" s="314">
        <f t="shared" si="20"/>
        <v>0.14583333333332704</v>
      </c>
      <c r="P44" s="755"/>
      <c r="Q44" s="756"/>
      <c r="R44" s="757"/>
      <c r="S44" s="781" t="str">
        <f>CONCATENATE("RTG24:  ",'RTG&amp;HARBOUR FAULTS'!B22,"_",'RTG&amp;HARBOUR FAULTS'!F22,"_",'RTG&amp;HARBOUR FAULTS'!J22)</f>
        <v>RTG24:  LOW TYRE PRESSURE_NIL_NIL</v>
      </c>
      <c r="T44" s="746"/>
      <c r="U44" s="746"/>
      <c r="V44" s="746"/>
      <c r="W44" s="746"/>
      <c r="X44" s="746"/>
      <c r="Y44" s="746"/>
      <c r="Z44" s="746"/>
    </row>
    <row r="45" spans="1:27" s="226" customFormat="1" ht="68.25" customHeight="1">
      <c r="A45" s="831"/>
      <c r="B45" s="832"/>
      <c r="C45" s="839"/>
      <c r="D45" s="251"/>
      <c r="E45" s="366"/>
      <c r="F45" s="317"/>
      <c r="G45" s="322">
        <f t="shared" si="14"/>
        <v>0</v>
      </c>
      <c r="H45" s="322">
        <f>'RTG&amp;HARBOUR FAULTS'!N23</f>
        <v>0</v>
      </c>
      <c r="I45" s="310">
        <f t="shared" si="21"/>
        <v>0</v>
      </c>
      <c r="J45" s="311">
        <f t="shared" si="15"/>
        <v>0</v>
      </c>
      <c r="K45" s="312">
        <f t="shared" si="16"/>
        <v>1440.0000000000091</v>
      </c>
      <c r="L45" s="313">
        <f t="shared" si="18"/>
        <v>100</v>
      </c>
      <c r="M45" s="350">
        <f>'RTG&amp;HARBOUR FAULTS'!O23</f>
        <v>0</v>
      </c>
      <c r="N45" s="309">
        <f t="shared" si="19"/>
        <v>0.99999999999999367</v>
      </c>
      <c r="O45" s="314" t="e">
        <f t="shared" si="20"/>
        <v>#DIV/0!</v>
      </c>
      <c r="P45" s="755"/>
      <c r="Q45" s="756"/>
      <c r="R45" s="757"/>
      <c r="S45" s="781" t="str">
        <f>CONCATENATE("RTG25:  ",'RTG&amp;HARBOUR FAULTS'!B23,"_",'RTG&amp;HARBOUR FAULTS'!F23,"_",'RTG&amp;HARBOUR FAULTS'!J23)</f>
        <v>RTG25:  NIL_NIL_NIL</v>
      </c>
      <c r="T45" s="746"/>
      <c r="U45" s="746"/>
      <c r="V45" s="746"/>
      <c r="W45" s="746"/>
      <c r="X45" s="746"/>
      <c r="Y45" s="746"/>
      <c r="Z45" s="746"/>
    </row>
    <row r="46" spans="1:27" s="226" customFormat="1" ht="68.25" customHeight="1">
      <c r="A46" s="831"/>
      <c r="B46" s="832"/>
      <c r="C46" s="839"/>
      <c r="D46" s="251"/>
      <c r="E46" s="366"/>
      <c r="F46" s="317"/>
      <c r="G46" s="322">
        <f t="shared" si="14"/>
        <v>0</v>
      </c>
      <c r="H46" s="322">
        <f>'RTG&amp;HARBOUR FAULTS'!N24</f>
        <v>0</v>
      </c>
      <c r="I46" s="310">
        <f t="shared" si="21"/>
        <v>0</v>
      </c>
      <c r="J46" s="311">
        <f t="shared" si="15"/>
        <v>0</v>
      </c>
      <c r="K46" s="312">
        <f t="shared" si="16"/>
        <v>1440.0000000000091</v>
      </c>
      <c r="L46" s="313">
        <f t="shared" si="18"/>
        <v>100</v>
      </c>
      <c r="M46" s="350">
        <f>'RTG&amp;HARBOUR FAULTS'!O24</f>
        <v>0</v>
      </c>
      <c r="N46" s="309">
        <f t="shared" si="19"/>
        <v>0.99999999999999367</v>
      </c>
      <c r="O46" s="314" t="e">
        <f t="shared" si="20"/>
        <v>#DIV/0!</v>
      </c>
      <c r="P46" s="755"/>
      <c r="Q46" s="756"/>
      <c r="R46" s="757"/>
      <c r="S46" s="781" t="str">
        <f>CONCATENATE("RTG26:  ",'RTG&amp;HARBOUR FAULTS'!B24,"_",'RTG&amp;HARBOUR FAULTS'!F24,"_",'RTG&amp;HARBOUR FAULTS'!J24)</f>
        <v>RTG26:  NIL_NIL_NIL</v>
      </c>
      <c r="T46" s="746"/>
      <c r="U46" s="746"/>
      <c r="V46" s="746"/>
      <c r="W46" s="746"/>
      <c r="X46" s="746"/>
      <c r="Y46" s="746"/>
      <c r="Z46" s="746"/>
    </row>
    <row r="47" spans="1:27" s="226" customFormat="1" ht="68.25" customHeight="1">
      <c r="A47" s="831"/>
      <c r="B47" s="832"/>
      <c r="C47" s="839"/>
      <c r="D47" s="251"/>
      <c r="E47" s="366"/>
      <c r="F47" s="317"/>
      <c r="G47" s="322">
        <f t="shared" si="14"/>
        <v>1.875</v>
      </c>
      <c r="H47" s="322">
        <f>'RTG&amp;HARBOUR FAULTS'!N25</f>
        <v>3.125E-2</v>
      </c>
      <c r="I47" s="310">
        <f t="shared" si="21"/>
        <v>3.125E-2</v>
      </c>
      <c r="J47" s="311">
        <f t="shared" si="15"/>
        <v>45.000000000000284</v>
      </c>
      <c r="K47" s="312">
        <f t="shared" si="16"/>
        <v>1395.0000000000089</v>
      </c>
      <c r="L47" s="313">
        <f t="shared" si="18"/>
        <v>96.874999999999986</v>
      </c>
      <c r="M47" s="350">
        <f>'RTG&amp;HARBOUR FAULTS'!O25</f>
        <v>3</v>
      </c>
      <c r="N47" s="309">
        <f t="shared" si="19"/>
        <v>0.24218749999999842</v>
      </c>
      <c r="O47" s="314">
        <f t="shared" si="20"/>
        <v>1.0416666666664548E-2</v>
      </c>
      <c r="P47" s="755"/>
      <c r="Q47" s="756"/>
      <c r="R47" s="757"/>
      <c r="S47" s="781" t="str">
        <f>CONCATENATE("RTG27:  ",'RTG&amp;HARBOUR FAULTS'!B25,"_",'RTG&amp;HARBOUR FAULTS'!F25,"_",'RTG&amp;HARBOUR FAULTS'!J25)</f>
        <v>RTG27:  ENGINE STARTING_NIL_DIESEL LEAKAGE/ LOCK SIGNAL</v>
      </c>
      <c r="T47" s="746"/>
      <c r="U47" s="746"/>
      <c r="V47" s="746"/>
      <c r="W47" s="746"/>
      <c r="X47" s="746"/>
      <c r="Y47" s="746"/>
      <c r="Z47" s="746"/>
    </row>
    <row r="48" spans="1:27" s="226" customFormat="1" ht="68.25" customHeight="1">
      <c r="A48" s="831"/>
      <c r="B48" s="832"/>
      <c r="C48" s="839"/>
      <c r="D48" s="251"/>
      <c r="E48" s="366"/>
      <c r="F48" s="317"/>
      <c r="G48" s="322">
        <f t="shared" si="14"/>
        <v>14.166666666666666</v>
      </c>
      <c r="H48" s="322">
        <f>'RTG&amp;HARBOUR FAULTS'!N26</f>
        <v>0.2361111111111111</v>
      </c>
      <c r="I48" s="310">
        <f t="shared" si="21"/>
        <v>0.2361111111111111</v>
      </c>
      <c r="J48" s="311">
        <f t="shared" si="15"/>
        <v>340.00000000000216</v>
      </c>
      <c r="K48" s="312">
        <f t="shared" si="16"/>
        <v>1100.0000000000068</v>
      </c>
      <c r="L48" s="313">
        <f t="shared" si="18"/>
        <v>76.388888888888729</v>
      </c>
      <c r="M48" s="350">
        <f>'RTG&amp;HARBOUR FAULTS'!O26</f>
        <v>1</v>
      </c>
      <c r="N48" s="309">
        <f t="shared" si="19"/>
        <v>0.3819444444444412</v>
      </c>
      <c r="O48" s="314">
        <f t="shared" si="20"/>
        <v>0.23611111111110486</v>
      </c>
      <c r="P48" s="755"/>
      <c r="Q48" s="756"/>
      <c r="R48" s="757"/>
      <c r="S48" s="781" t="str">
        <f>CONCATENATE("RTG28:  ",'RTG&amp;HARBOUR FAULTS'!B26,"_",'RTG&amp;HARBOUR FAULTS'!F26,"_",'RTG&amp;HARBOUR FAULTS'!J26)</f>
        <v>RTG28:  NIL_NIL_ACCIDENT-STEERED INTO CONTAINERS-OUT@ 0120HRS</v>
      </c>
      <c r="T48" s="746"/>
      <c r="U48" s="746"/>
      <c r="V48" s="746"/>
      <c r="W48" s="746"/>
      <c r="X48" s="746"/>
      <c r="Y48" s="746"/>
      <c r="Z48" s="746"/>
    </row>
    <row r="49" spans="1:26" s="226" customFormat="1" ht="68.25" customHeight="1">
      <c r="A49" s="831"/>
      <c r="B49" s="832"/>
      <c r="C49" s="839"/>
      <c r="D49" s="251"/>
      <c r="E49" s="366"/>
      <c r="F49" s="317"/>
      <c r="G49" s="322">
        <f t="shared" si="14"/>
        <v>0</v>
      </c>
      <c r="H49" s="322">
        <f>'RTG&amp;HARBOUR FAULTS'!N27</f>
        <v>0</v>
      </c>
      <c r="I49" s="310">
        <f t="shared" si="21"/>
        <v>0</v>
      </c>
      <c r="J49" s="311">
        <f t="shared" si="15"/>
        <v>0</v>
      </c>
      <c r="K49" s="312">
        <f t="shared" si="16"/>
        <v>1440.0000000000091</v>
      </c>
      <c r="L49" s="313">
        <f t="shared" si="18"/>
        <v>100</v>
      </c>
      <c r="M49" s="350">
        <f>'RTG&amp;HARBOUR FAULTS'!O27</f>
        <v>0</v>
      </c>
      <c r="N49" s="309">
        <f t="shared" si="19"/>
        <v>0.99999999999999367</v>
      </c>
      <c r="O49" s="314" t="e">
        <f t="shared" si="20"/>
        <v>#DIV/0!</v>
      </c>
      <c r="P49" s="755"/>
      <c r="Q49" s="756"/>
      <c r="R49" s="757"/>
      <c r="S49" s="781" t="str">
        <f>CONCATENATE("RTG29:  ",'RTG&amp;HARBOUR FAULTS'!B27,"_",'RTG&amp;HARBOUR FAULTS'!F27,"_",'RTG&amp;HARBOUR FAULTS'!J27)</f>
        <v>RTG29:  NIL_NIL_NIL</v>
      </c>
      <c r="T49" s="746"/>
      <c r="U49" s="746"/>
      <c r="V49" s="746"/>
      <c r="W49" s="746"/>
      <c r="X49" s="746"/>
      <c r="Y49" s="746"/>
      <c r="Z49" s="746"/>
    </row>
    <row r="50" spans="1:26" s="226" customFormat="1" ht="68.25" customHeight="1">
      <c r="A50" s="831"/>
      <c r="B50" s="832"/>
      <c r="C50" s="839"/>
      <c r="D50" s="251"/>
      <c r="E50" s="366"/>
      <c r="F50" s="317"/>
      <c r="G50" s="322">
        <f t="shared" si="14"/>
        <v>60</v>
      </c>
      <c r="H50" s="322">
        <f>'RTG&amp;HARBOUR FAULTS'!N28</f>
        <v>1</v>
      </c>
      <c r="I50" s="310">
        <f t="shared" si="21"/>
        <v>1</v>
      </c>
      <c r="J50" s="311">
        <f t="shared" si="15"/>
        <v>1440.0000000000091</v>
      </c>
      <c r="K50" s="312">
        <f t="shared" si="16"/>
        <v>0</v>
      </c>
      <c r="L50" s="313">
        <f t="shared" si="18"/>
        <v>-6.3159354289786681E-13</v>
      </c>
      <c r="M50" s="350">
        <f>'RTG&amp;HARBOUR FAULTS'!O28</f>
        <v>0</v>
      </c>
      <c r="N50" s="309">
        <f t="shared" si="19"/>
        <v>-6.3159354289786285E-15</v>
      </c>
      <c r="O50" s="314" t="e">
        <f t="shared" si="20"/>
        <v>#DIV/0!</v>
      </c>
      <c r="P50" s="755"/>
      <c r="Q50" s="756"/>
      <c r="R50" s="757"/>
      <c r="S50" s="781" t="str">
        <f>CONCATENATE("RTG30:  ",'RTG&amp;HARBOUR FAULTS'!B28,"_",'RTG&amp;HARBOUR FAULTS'!F28,"_",'RTG&amp;HARBOUR FAULTS'!J28)</f>
        <v>RTG30:  HOIST DRIVE -OUT_OUT_OUT</v>
      </c>
      <c r="T50" s="746"/>
      <c r="U50" s="746"/>
      <c r="V50" s="746"/>
      <c r="W50" s="746"/>
      <c r="X50" s="746"/>
      <c r="Y50" s="746"/>
      <c r="Z50" s="746"/>
    </row>
    <row r="51" spans="1:26" s="226" customFormat="1" ht="68.25" customHeight="1">
      <c r="A51" s="831"/>
      <c r="B51" s="832"/>
      <c r="C51" s="839"/>
      <c r="D51" s="251"/>
      <c r="E51" s="366"/>
      <c r="F51" s="317"/>
      <c r="G51" s="322">
        <f t="shared" si="14"/>
        <v>60</v>
      </c>
      <c r="H51" s="322">
        <f>'RTG&amp;HARBOUR FAULTS'!N29</f>
        <v>1</v>
      </c>
      <c r="I51" s="310">
        <f t="shared" si="21"/>
        <v>1</v>
      </c>
      <c r="J51" s="311">
        <f t="shared" si="15"/>
        <v>1440.0000000000091</v>
      </c>
      <c r="K51" s="312">
        <f t="shared" si="16"/>
        <v>0</v>
      </c>
      <c r="L51" s="313">
        <f t="shared" si="18"/>
        <v>-6.3159354289786681E-13</v>
      </c>
      <c r="M51" s="350">
        <f>'RTG&amp;HARBOUR FAULTS'!O29</f>
        <v>0</v>
      </c>
      <c r="N51" s="309">
        <f t="shared" si="19"/>
        <v>-6.3159354289786285E-15</v>
      </c>
      <c r="O51" s="314" t="e">
        <f t="shared" si="20"/>
        <v>#DIV/0!</v>
      </c>
      <c r="P51" s="755"/>
      <c r="Q51" s="756"/>
      <c r="R51" s="757"/>
      <c r="S51" s="781" t="str">
        <f>CONCATENATE("RTG31:  ",'RTG&amp;HARBOUR FAULTS'!B29,"_",'RTG&amp;HARBOUR FAULTS'!F29,"_",'RTG&amp;HARBOUR FAULTS'!J29)</f>
        <v>RTG31:  GANTRY MOTOR SHORT CCT FLT -OUT_OUT_OUT</v>
      </c>
      <c r="T51" s="746"/>
      <c r="U51" s="746"/>
      <c r="V51" s="746"/>
      <c r="W51" s="746"/>
      <c r="X51" s="746"/>
      <c r="Y51" s="746"/>
      <c r="Z51" s="746"/>
    </row>
    <row r="52" spans="1:26" s="226" customFormat="1" ht="68.25" customHeight="1">
      <c r="A52" s="831"/>
      <c r="B52" s="832"/>
      <c r="C52" s="839"/>
      <c r="D52" s="251"/>
      <c r="E52" s="366"/>
      <c r="F52" s="317"/>
      <c r="G52" s="322">
        <f t="shared" si="14"/>
        <v>0</v>
      </c>
      <c r="H52" s="322">
        <f>'RTG&amp;HARBOUR FAULTS'!N30</f>
        <v>0</v>
      </c>
      <c r="I52" s="310">
        <f t="shared" si="21"/>
        <v>0</v>
      </c>
      <c r="J52" s="311">
        <f t="shared" si="15"/>
        <v>0</v>
      </c>
      <c r="K52" s="312">
        <f t="shared" si="16"/>
        <v>1440.0000000000091</v>
      </c>
      <c r="L52" s="313">
        <f t="shared" si="18"/>
        <v>100</v>
      </c>
      <c r="M52" s="350">
        <f>'RTG&amp;HARBOUR FAULTS'!O30</f>
        <v>0</v>
      </c>
      <c r="N52" s="309">
        <f t="shared" si="19"/>
        <v>0.99999999999999367</v>
      </c>
      <c r="O52" s="314" t="e">
        <f t="shared" si="20"/>
        <v>#DIV/0!</v>
      </c>
      <c r="P52" s="755"/>
      <c r="Q52" s="756"/>
      <c r="R52" s="757"/>
      <c r="S52" s="781" t="str">
        <f>CONCATENATE("RTG32:  ",'RTG&amp;HARBOUR FAULTS'!B30,"_",'RTG&amp;HARBOUR FAULTS'!F30,"_",'RTG&amp;HARBOUR FAULTS'!J30)</f>
        <v>RTG32:  NIL_NIL_NIL</v>
      </c>
      <c r="T52" s="746"/>
      <c r="U52" s="746"/>
      <c r="V52" s="746"/>
      <c r="W52" s="746"/>
      <c r="X52" s="746"/>
      <c r="Y52" s="746"/>
      <c r="Z52" s="746"/>
    </row>
    <row r="53" spans="1:26" s="226" customFormat="1" ht="68.25" customHeight="1">
      <c r="A53" s="831"/>
      <c r="B53" s="832"/>
      <c r="C53" s="839"/>
      <c r="D53" s="251"/>
      <c r="E53" s="366"/>
      <c r="F53" s="317"/>
      <c r="G53" s="322">
        <f t="shared" si="14"/>
        <v>60</v>
      </c>
      <c r="H53" s="322">
        <f>'RTG&amp;HARBOUR FAULTS'!N31</f>
        <v>1</v>
      </c>
      <c r="I53" s="310">
        <f t="shared" si="21"/>
        <v>1</v>
      </c>
      <c r="J53" s="311">
        <f t="shared" si="15"/>
        <v>1440.0000000000091</v>
      </c>
      <c r="K53" s="312">
        <f t="shared" si="16"/>
        <v>0</v>
      </c>
      <c r="L53" s="313">
        <f t="shared" si="18"/>
        <v>-6.3159354289786681E-13</v>
      </c>
      <c r="M53" s="350">
        <f>'RTG&amp;HARBOUR FAULTS'!O31</f>
        <v>0</v>
      </c>
      <c r="N53" s="309">
        <f t="shared" si="19"/>
        <v>-6.3159354289786285E-15</v>
      </c>
      <c r="O53" s="314" t="e">
        <f t="shared" si="20"/>
        <v>#DIV/0!</v>
      </c>
      <c r="P53" s="755"/>
      <c r="Q53" s="756"/>
      <c r="R53" s="757"/>
      <c r="S53" s="781" t="str">
        <f>CONCATENATE("RTG33:  ",'RTG&amp;HARBOUR FAULTS'!B31,"_",'RTG&amp;HARBOUR FAULTS'!F31,"_",'RTG&amp;HARBOUR FAULTS'!J31)</f>
        <v>RTG33:  GENERATOR VIBRATIONS.OUT_OUT_OUT</v>
      </c>
      <c r="T53" s="746"/>
      <c r="U53" s="746"/>
      <c r="V53" s="746"/>
      <c r="W53" s="746"/>
      <c r="X53" s="746"/>
      <c r="Y53" s="746"/>
      <c r="Z53" s="746"/>
    </row>
    <row r="54" spans="1:26" s="226" customFormat="1" ht="68.25" customHeight="1">
      <c r="A54" s="831"/>
      <c r="B54" s="832"/>
      <c r="C54" s="839"/>
      <c r="D54" s="251"/>
      <c r="E54" s="366"/>
      <c r="F54" s="317"/>
      <c r="G54" s="322">
        <f t="shared" si="14"/>
        <v>0</v>
      </c>
      <c r="H54" s="322">
        <f>'RTG&amp;HARBOUR FAULTS'!N32</f>
        <v>0</v>
      </c>
      <c r="I54" s="310">
        <f t="shared" si="21"/>
        <v>0</v>
      </c>
      <c r="J54" s="311">
        <f t="shared" si="15"/>
        <v>0</v>
      </c>
      <c r="K54" s="312">
        <f t="shared" si="16"/>
        <v>1440.0000000000091</v>
      </c>
      <c r="L54" s="313">
        <f t="shared" si="18"/>
        <v>100</v>
      </c>
      <c r="M54" s="350">
        <f>'RTG&amp;HARBOUR FAULTS'!O32</f>
        <v>0</v>
      </c>
      <c r="N54" s="309">
        <f t="shared" si="19"/>
        <v>0.99999999999999367</v>
      </c>
      <c r="O54" s="314" t="e">
        <f t="shared" si="20"/>
        <v>#DIV/0!</v>
      </c>
      <c r="P54" s="755"/>
      <c r="Q54" s="756"/>
      <c r="R54" s="757"/>
      <c r="S54" s="781" t="str">
        <f>CONCATENATE("RTG34:  ",'RTG&amp;HARBOUR FAULTS'!B32,"_",'RTG&amp;HARBOUR FAULTS'!F32,"_",'RTG&amp;HARBOUR FAULTS'!J32)</f>
        <v>RTG34:  NIL_NIL_NIL</v>
      </c>
      <c r="T54" s="746"/>
      <c r="U54" s="746"/>
      <c r="V54" s="746"/>
      <c r="W54" s="746"/>
      <c r="X54" s="746"/>
      <c r="Y54" s="746"/>
      <c r="Z54" s="746"/>
    </row>
    <row r="55" spans="1:26" s="226" customFormat="1" ht="68.25" customHeight="1">
      <c r="A55" s="831"/>
      <c r="B55" s="832"/>
      <c r="C55" s="839"/>
      <c r="D55" s="251"/>
      <c r="E55" s="366"/>
      <c r="F55" s="317"/>
      <c r="G55" s="322">
        <f t="shared" si="14"/>
        <v>60</v>
      </c>
      <c r="H55" s="322">
        <f>'RTG&amp;HARBOUR FAULTS'!N33</f>
        <v>1</v>
      </c>
      <c r="I55" s="310">
        <f t="shared" si="21"/>
        <v>1</v>
      </c>
      <c r="J55" s="311">
        <f t="shared" si="15"/>
        <v>1440.0000000000091</v>
      </c>
      <c r="K55" s="312">
        <f t="shared" si="16"/>
        <v>0</v>
      </c>
      <c r="L55" s="313">
        <f t="shared" si="18"/>
        <v>-6.3159354289786681E-13</v>
      </c>
      <c r="M55" s="350">
        <f>'RTG&amp;HARBOUR FAULTS'!O33</f>
        <v>0</v>
      </c>
      <c r="N55" s="309">
        <f t="shared" si="19"/>
        <v>-6.3159354289786285E-15</v>
      </c>
      <c r="O55" s="314" t="e">
        <f t="shared" si="20"/>
        <v>#DIV/0!</v>
      </c>
      <c r="P55" s="755"/>
      <c r="Q55" s="756"/>
      <c r="R55" s="757"/>
      <c r="S55" s="781" t="str">
        <f>CONCATENATE("RTG35:  ",'RTG&amp;HARBOUR FAULTS'!B33,"_",'RTG&amp;HARBOUR FAULTS'!F33,"_",'RTG&amp;HARBOUR FAULTS'!J33)</f>
        <v>RTG35:  ACCIDENTCABLE VANDALISED - OUT_OUT_OUT</v>
      </c>
      <c r="T55" s="746"/>
      <c r="U55" s="746"/>
      <c r="V55" s="746"/>
      <c r="W55" s="746"/>
      <c r="X55" s="746"/>
      <c r="Y55" s="746"/>
      <c r="Z55" s="746"/>
    </row>
    <row r="56" spans="1:26" s="226" customFormat="1" ht="68.25" customHeight="1">
      <c r="A56" s="831"/>
      <c r="B56" s="832"/>
      <c r="C56" s="839"/>
      <c r="D56" s="251"/>
      <c r="E56" s="366"/>
      <c r="F56" s="317"/>
      <c r="G56" s="322">
        <f t="shared" si="14"/>
        <v>0</v>
      </c>
      <c r="H56" s="322">
        <f>'RTG&amp;HARBOUR FAULTS'!N34</f>
        <v>0</v>
      </c>
      <c r="I56" s="310">
        <f t="shared" si="21"/>
        <v>0</v>
      </c>
      <c r="J56" s="311">
        <f t="shared" si="15"/>
        <v>0</v>
      </c>
      <c r="K56" s="312">
        <f t="shared" si="16"/>
        <v>1440.0000000000091</v>
      </c>
      <c r="L56" s="313">
        <f t="shared" si="18"/>
        <v>100</v>
      </c>
      <c r="M56" s="350">
        <f>'RTG&amp;HARBOUR FAULTS'!O34</f>
        <v>0</v>
      </c>
      <c r="N56" s="309">
        <f t="shared" si="19"/>
        <v>0.99999999999999367</v>
      </c>
      <c r="O56" s="314" t="e">
        <f t="shared" si="20"/>
        <v>#DIV/0!</v>
      </c>
      <c r="P56" s="755"/>
      <c r="Q56" s="756"/>
      <c r="R56" s="757"/>
      <c r="S56" s="781" t="str">
        <f>CONCATENATE("RTG36:  ",'RTG&amp;HARBOUR FAULTS'!B34,"_",'RTG&amp;HARBOUR FAULTS'!F34,"_",'RTG&amp;HARBOUR FAULTS'!J34)</f>
        <v>RTG36:  NIL_NIL_NIL</v>
      </c>
      <c r="T56" s="746"/>
      <c r="U56" s="746"/>
      <c r="V56" s="746"/>
      <c r="W56" s="746"/>
      <c r="X56" s="746"/>
      <c r="Y56" s="746"/>
      <c r="Z56" s="746"/>
    </row>
    <row r="57" spans="1:26" s="226" customFormat="1" ht="68.25" customHeight="1">
      <c r="A57" s="831"/>
      <c r="B57" s="832"/>
      <c r="C57" s="839"/>
      <c r="D57" s="251"/>
      <c r="E57" s="366"/>
      <c r="F57" s="317"/>
      <c r="G57" s="322">
        <f t="shared" si="14"/>
        <v>0</v>
      </c>
      <c r="H57" s="322">
        <f>'RTG&amp;HARBOUR FAULTS'!N35</f>
        <v>0</v>
      </c>
      <c r="I57" s="310">
        <f t="shared" si="21"/>
        <v>0</v>
      </c>
      <c r="J57" s="311">
        <f t="shared" si="15"/>
        <v>0</v>
      </c>
      <c r="K57" s="312">
        <f t="shared" si="16"/>
        <v>1440.0000000000091</v>
      </c>
      <c r="L57" s="313">
        <f t="shared" si="18"/>
        <v>100</v>
      </c>
      <c r="M57" s="350">
        <f>'RTG&amp;HARBOUR FAULTS'!O35</f>
        <v>0</v>
      </c>
      <c r="N57" s="309">
        <f t="shared" si="19"/>
        <v>0.99999999999999367</v>
      </c>
      <c r="O57" s="314" t="e">
        <f t="shared" si="20"/>
        <v>#DIV/0!</v>
      </c>
      <c r="P57" s="755"/>
      <c r="Q57" s="756"/>
      <c r="R57" s="757"/>
      <c r="S57" s="781" t="str">
        <f>CONCATENATE("RTG37:  ",'RTG&amp;HARBOUR FAULTS'!B35,"_",'RTG&amp;HARBOUR FAULTS'!F35,"_",'RTG&amp;HARBOUR FAULTS'!J35)</f>
        <v>RTG37:  NIL_NIL_NIL</v>
      </c>
      <c r="T57" s="746"/>
      <c r="U57" s="746"/>
      <c r="V57" s="746"/>
      <c r="W57" s="746"/>
      <c r="X57" s="746"/>
      <c r="Y57" s="746"/>
      <c r="Z57" s="746"/>
    </row>
    <row r="58" spans="1:26" s="226" customFormat="1" ht="68.25" customHeight="1">
      <c r="A58" s="831"/>
      <c r="B58" s="832"/>
      <c r="C58" s="839"/>
      <c r="D58" s="251"/>
      <c r="E58" s="366"/>
      <c r="F58" s="317"/>
      <c r="G58" s="322">
        <f t="shared" si="14"/>
        <v>1.875</v>
      </c>
      <c r="H58" s="322">
        <f>'RTG&amp;HARBOUR FAULTS'!N36</f>
        <v>3.125E-2</v>
      </c>
      <c r="I58" s="310">
        <f t="shared" si="21"/>
        <v>3.125E-2</v>
      </c>
      <c r="J58" s="311">
        <f t="shared" si="15"/>
        <v>45.000000000000284</v>
      </c>
      <c r="K58" s="312">
        <f t="shared" si="16"/>
        <v>1395.0000000000089</v>
      </c>
      <c r="L58" s="313">
        <f t="shared" si="18"/>
        <v>96.874999999999986</v>
      </c>
      <c r="M58" s="350">
        <f>'RTG&amp;HARBOUR FAULTS'!O36</f>
        <v>1</v>
      </c>
      <c r="N58" s="309">
        <f t="shared" si="19"/>
        <v>0.48437499999999684</v>
      </c>
      <c r="O58" s="314">
        <f t="shared" si="20"/>
        <v>3.1249999999993644E-2</v>
      </c>
      <c r="P58" s="755"/>
      <c r="Q58" s="756"/>
      <c r="R58" s="757"/>
      <c r="S58" s="781" t="str">
        <f>CONCATENATE("RTG38:  ",'RTG&amp;HARBOUR FAULTS'!B36,"_",'RTG&amp;HARBOUR FAULTS'!F36,"_",'RTG&amp;HARBOUR FAULTS'!J36)</f>
        <v>RTG38:   NIL_LOCK SIGNAL_NIL</v>
      </c>
      <c r="T58" s="746"/>
      <c r="U58" s="746"/>
      <c r="V58" s="746"/>
      <c r="W58" s="746"/>
      <c r="X58" s="746"/>
      <c r="Y58" s="746"/>
      <c r="Z58" s="746"/>
    </row>
    <row r="59" spans="1:26" s="226" customFormat="1" ht="68.25" customHeight="1">
      <c r="A59" s="831"/>
      <c r="B59" s="832"/>
      <c r="C59" s="839"/>
      <c r="D59" s="251"/>
      <c r="E59" s="366"/>
      <c r="F59" s="317"/>
      <c r="G59" s="322">
        <f t="shared" si="14"/>
        <v>60</v>
      </c>
      <c r="H59" s="322">
        <f>'RTG&amp;HARBOUR FAULTS'!N37</f>
        <v>1</v>
      </c>
      <c r="I59" s="310">
        <f t="shared" si="21"/>
        <v>1</v>
      </c>
      <c r="J59" s="311">
        <f t="shared" si="15"/>
        <v>1440.0000000000091</v>
      </c>
      <c r="K59" s="312">
        <f t="shared" si="16"/>
        <v>0</v>
      </c>
      <c r="L59" s="313">
        <f t="shared" si="18"/>
        <v>-6.3159354289786681E-13</v>
      </c>
      <c r="M59" s="350">
        <f>'RTG&amp;HARBOUR FAULTS'!O37</f>
        <v>0</v>
      </c>
      <c r="N59" s="309">
        <f t="shared" si="19"/>
        <v>-6.3159354289786285E-15</v>
      </c>
      <c r="O59" s="314" t="e">
        <f t="shared" si="20"/>
        <v>#DIV/0!</v>
      </c>
      <c r="P59" s="755"/>
      <c r="Q59" s="756"/>
      <c r="R59" s="757"/>
      <c r="S59" s="781" t="str">
        <f>CONCATENATE("RTG39:  ",'RTG&amp;HARBOUR FAULTS'!B37,"_",'RTG&amp;HARBOUR FAULTS'!F37,"_",'RTG&amp;HARBOUR FAULTS'!J37)</f>
        <v>RTG39:  ENGINE STARTING/CABLES VANDALISED-OUT_OUT_OUT</v>
      </c>
      <c r="T59" s="746"/>
      <c r="U59" s="746"/>
      <c r="V59" s="746"/>
      <c r="W59" s="746"/>
      <c r="X59" s="746"/>
      <c r="Y59" s="746"/>
      <c r="Z59" s="746"/>
    </row>
    <row r="60" spans="1:26" s="226" customFormat="1" ht="68.25" customHeight="1">
      <c r="A60" s="831"/>
      <c r="B60" s="832"/>
      <c r="C60" s="839"/>
      <c r="D60" s="251"/>
      <c r="E60" s="366"/>
      <c r="F60" s="317"/>
      <c r="G60" s="322">
        <f t="shared" si="14"/>
        <v>1.875</v>
      </c>
      <c r="H60" s="322">
        <f>'RTG&amp;HARBOUR FAULTS'!N38</f>
        <v>3.125E-2</v>
      </c>
      <c r="I60" s="310">
        <f t="shared" si="21"/>
        <v>3.125E-2</v>
      </c>
      <c r="J60" s="311">
        <f t="shared" si="15"/>
        <v>45.000000000000284</v>
      </c>
      <c r="K60" s="312">
        <f t="shared" si="16"/>
        <v>1395.0000000000089</v>
      </c>
      <c r="L60" s="313">
        <f t="shared" si="18"/>
        <v>96.874999999999986</v>
      </c>
      <c r="M60" s="350">
        <f>'RTG&amp;HARBOUR FAULTS'!O38</f>
        <v>2</v>
      </c>
      <c r="N60" s="309">
        <f t="shared" si="19"/>
        <v>0.32291666666666458</v>
      </c>
      <c r="O60" s="314">
        <f t="shared" si="20"/>
        <v>1.5624999999996822E-2</v>
      </c>
      <c r="P60" s="755"/>
      <c r="Q60" s="756"/>
      <c r="R60" s="757"/>
      <c r="S60" s="781" t="str">
        <f>CONCATENATE("RTG41:  ",'RTG&amp;HARBOUR FAULTS'!B38,"_",'RTG&amp;HARBOUR FAULTS'!F38,"_",'RTG&amp;HARBOUR FAULTS'!J38)</f>
        <v>RTG41:  CONTROL ON_STARTING_NIL</v>
      </c>
      <c r="T60" s="746"/>
      <c r="U60" s="746"/>
      <c r="V60" s="746"/>
      <c r="W60" s="746"/>
      <c r="X60" s="746"/>
      <c r="Y60" s="746"/>
      <c r="Z60" s="746"/>
    </row>
    <row r="61" spans="1:26" s="226" customFormat="1" ht="68.25" customHeight="1">
      <c r="A61" s="831"/>
      <c r="B61" s="832"/>
      <c r="C61" s="839"/>
      <c r="D61" s="251"/>
      <c r="E61" s="366"/>
      <c r="F61" s="317"/>
      <c r="G61" s="322">
        <f t="shared" si="14"/>
        <v>0</v>
      </c>
      <c r="H61" s="322">
        <f>'RTG&amp;HARBOUR FAULTS'!N39</f>
        <v>0</v>
      </c>
      <c r="I61" s="310">
        <f t="shared" si="21"/>
        <v>0</v>
      </c>
      <c r="J61" s="311">
        <f t="shared" si="15"/>
        <v>0</v>
      </c>
      <c r="K61" s="312">
        <f t="shared" si="16"/>
        <v>1440.0000000000091</v>
      </c>
      <c r="L61" s="313">
        <f t="shared" si="18"/>
        <v>100</v>
      </c>
      <c r="M61" s="350">
        <f>'RTG&amp;HARBOUR FAULTS'!O39</f>
        <v>0</v>
      </c>
      <c r="N61" s="309">
        <f t="shared" si="19"/>
        <v>0.99999999999999367</v>
      </c>
      <c r="O61" s="314" t="e">
        <f t="shared" si="20"/>
        <v>#DIV/0!</v>
      </c>
      <c r="P61" s="755"/>
      <c r="Q61" s="756"/>
      <c r="R61" s="757"/>
      <c r="S61" s="781" t="str">
        <f>CONCATENATE("RTG42:  ",'RTG&amp;HARBOUR FAULTS'!B39,"_",'RTG&amp;HARBOUR FAULTS'!F39,"_",'RTG&amp;HARBOUR FAULTS'!J39)</f>
        <v>RTG42:  NIL_NIL_NIL</v>
      </c>
      <c r="T61" s="746"/>
      <c r="U61" s="746"/>
      <c r="V61" s="746"/>
      <c r="W61" s="746"/>
      <c r="X61" s="746"/>
      <c r="Y61" s="746"/>
      <c r="Z61" s="746"/>
    </row>
    <row r="62" spans="1:26" s="226" customFormat="1" ht="68.25" customHeight="1">
      <c r="A62" s="831"/>
      <c r="B62" s="832"/>
      <c r="C62" s="839"/>
      <c r="D62" s="251"/>
      <c r="E62" s="366"/>
      <c r="F62" s="317"/>
      <c r="G62" s="322">
        <f t="shared" si="14"/>
        <v>0</v>
      </c>
      <c r="H62" s="322">
        <f>'RTG&amp;HARBOUR FAULTS'!N40</f>
        <v>0</v>
      </c>
      <c r="I62" s="310">
        <f t="shared" si="21"/>
        <v>0</v>
      </c>
      <c r="J62" s="311">
        <f t="shared" si="15"/>
        <v>0</v>
      </c>
      <c r="K62" s="312">
        <f t="shared" si="16"/>
        <v>1440.0000000000091</v>
      </c>
      <c r="L62" s="313">
        <f t="shared" si="18"/>
        <v>100</v>
      </c>
      <c r="M62" s="350">
        <f>'RTG&amp;HARBOUR FAULTS'!O40</f>
        <v>0</v>
      </c>
      <c r="N62" s="309">
        <f t="shared" si="19"/>
        <v>0.99999999999999367</v>
      </c>
      <c r="O62" s="314" t="e">
        <f t="shared" si="20"/>
        <v>#DIV/0!</v>
      </c>
      <c r="P62" s="755"/>
      <c r="Q62" s="756"/>
      <c r="R62" s="757"/>
      <c r="S62" s="781" t="str">
        <f>CONCATENATE("RTG44:  ",'RTG&amp;HARBOUR FAULTS'!B40,"_",'RTG&amp;HARBOUR FAULTS'!F40,"_",'RTG&amp;HARBOUR FAULTS'!J40)</f>
        <v>RTG44:  NIL_NIL_NIL</v>
      </c>
      <c r="T62" s="746"/>
      <c r="U62" s="746"/>
      <c r="V62" s="746"/>
      <c r="W62" s="746"/>
      <c r="X62" s="746"/>
      <c r="Y62" s="746"/>
      <c r="Z62" s="746"/>
    </row>
    <row r="63" spans="1:26" s="226" customFormat="1" ht="68.25" customHeight="1">
      <c r="A63" s="831"/>
      <c r="B63" s="832"/>
      <c r="C63" s="839"/>
      <c r="D63" s="251"/>
      <c r="E63" s="366"/>
      <c r="F63" s="317"/>
      <c r="G63" s="322">
        <f t="shared" si="14"/>
        <v>60</v>
      </c>
      <c r="H63" s="322">
        <f>'RTG&amp;HARBOUR FAULTS'!N41</f>
        <v>1</v>
      </c>
      <c r="I63" s="310">
        <f t="shared" si="21"/>
        <v>1</v>
      </c>
      <c r="J63" s="311">
        <f t="shared" si="15"/>
        <v>1440.0000000000091</v>
      </c>
      <c r="K63" s="312">
        <f t="shared" si="16"/>
        <v>0</v>
      </c>
      <c r="L63" s="313">
        <f t="shared" si="18"/>
        <v>-6.3159354289786681E-13</v>
      </c>
      <c r="M63" s="350">
        <f>'RTG&amp;HARBOUR FAULTS'!O41</f>
        <v>0</v>
      </c>
      <c r="N63" s="309">
        <f t="shared" si="19"/>
        <v>-6.3159354289786285E-15</v>
      </c>
      <c r="O63" s="314" t="e">
        <f t="shared" si="20"/>
        <v>#DIV/0!</v>
      </c>
      <c r="P63" s="755"/>
      <c r="Q63" s="756"/>
      <c r="R63" s="757"/>
      <c r="S63" s="781" t="str">
        <f>CONCATENATE("RTG45:  ",'RTG&amp;HARBOUR FAULTS'!B41,"_",'RTG&amp;HARBOUR FAULTS'!F41,"_",'RTG&amp;HARBOUR FAULTS'!J41)</f>
        <v>RTG45:  STEERING -OUT_OUT_OUT</v>
      </c>
      <c r="T63" s="746"/>
      <c r="U63" s="746"/>
      <c r="V63" s="746"/>
      <c r="W63" s="746"/>
      <c r="X63" s="746"/>
      <c r="Y63" s="746"/>
      <c r="Z63" s="746"/>
    </row>
    <row r="64" spans="1:26" s="226" customFormat="1" ht="68.25" customHeight="1">
      <c r="A64" s="831"/>
      <c r="B64" s="832"/>
      <c r="C64" s="839"/>
      <c r="D64" s="251"/>
      <c r="E64" s="366"/>
      <c r="F64" s="317"/>
      <c r="G64" s="322">
        <f t="shared" si="14"/>
        <v>2.7083333333333335</v>
      </c>
      <c r="H64" s="322">
        <f>'RTG&amp;HARBOUR FAULTS'!N42</f>
        <v>4.5138888888888888E-2</v>
      </c>
      <c r="I64" s="310">
        <f t="shared" si="21"/>
        <v>4.5138888888888888E-2</v>
      </c>
      <c r="J64" s="311">
        <f t="shared" si="15"/>
        <v>65.000000000000412</v>
      </c>
      <c r="K64" s="312">
        <f t="shared" si="16"/>
        <v>1375.0000000000089</v>
      </c>
      <c r="L64" s="313">
        <f t="shared" si="18"/>
        <v>95.486111111111086</v>
      </c>
      <c r="M64" s="350">
        <f>'RTG&amp;HARBOUR FAULTS'!O42</f>
        <v>2</v>
      </c>
      <c r="N64" s="309">
        <f t="shared" si="19"/>
        <v>0.31828703703703493</v>
      </c>
      <c r="O64" s="314">
        <f t="shared" si="20"/>
        <v>2.2569444444441221E-2</v>
      </c>
      <c r="P64" s="755"/>
      <c r="Q64" s="756"/>
      <c r="R64" s="757"/>
      <c r="S64" s="781" t="str">
        <f>CONCATENATE("RTG2-01:  ",'RTG&amp;HARBOUR FAULTS'!B42,"_",'RTG&amp;HARBOUR FAULTS'!F42,"_",'RTG&amp;HARBOUR FAULTS'!J42)</f>
        <v>RTG2-01:  ENGINE STARTING/SKEW_NIL_NIL</v>
      </c>
      <c r="T64" s="746"/>
      <c r="U64" s="746"/>
      <c r="V64" s="746"/>
      <c r="W64" s="746"/>
      <c r="X64" s="746"/>
      <c r="Y64" s="746"/>
      <c r="Z64" s="746"/>
    </row>
    <row r="65" spans="1:26" s="226" customFormat="1" ht="68.25" customHeight="1">
      <c r="A65" s="831"/>
      <c r="B65" s="832"/>
      <c r="C65" s="839"/>
      <c r="D65" s="251"/>
      <c r="E65" s="366"/>
      <c r="F65" s="317"/>
      <c r="G65" s="322">
        <f t="shared" si="14"/>
        <v>7.916666666666667</v>
      </c>
      <c r="H65" s="322">
        <f>'RTG&amp;HARBOUR FAULTS'!N43</f>
        <v>0.13194444444444445</v>
      </c>
      <c r="I65" s="310">
        <f t="shared" si="21"/>
        <v>0.13194444444444445</v>
      </c>
      <c r="J65" s="311">
        <f t="shared" si="15"/>
        <v>190.00000000000122</v>
      </c>
      <c r="K65" s="312">
        <f t="shared" si="16"/>
        <v>1250.000000000008</v>
      </c>
      <c r="L65" s="313">
        <f t="shared" si="18"/>
        <v>86.805555555555486</v>
      </c>
      <c r="M65" s="350">
        <f>'RTG&amp;HARBOUR FAULTS'!O43</f>
        <v>1</v>
      </c>
      <c r="N65" s="309">
        <f t="shared" si="19"/>
        <v>0.43402777777777463</v>
      </c>
      <c r="O65" s="314">
        <f t="shared" si="20"/>
        <v>0.13194444444443809</v>
      </c>
      <c r="P65" s="755"/>
      <c r="Q65" s="756"/>
      <c r="R65" s="757"/>
      <c r="S65" s="781" t="str">
        <f>CONCATENATE("RTG2-02:  ",'RTG&amp;HARBOUR FAULTS'!B43,"_",'RTG&amp;HARBOUR FAULTS'!F43,"_",'RTG&amp;HARBOUR FAULTS'!J43)</f>
        <v>RTG2-02:  ANTSWAY WIRE ROPE LOOSE_NIL_NIL</v>
      </c>
      <c r="T65" s="746"/>
      <c r="U65" s="746"/>
      <c r="V65" s="746"/>
      <c r="W65" s="746"/>
      <c r="X65" s="746"/>
      <c r="Y65" s="746"/>
      <c r="Z65" s="746"/>
    </row>
    <row r="66" spans="1:26" s="226" customFormat="1" ht="68.25" customHeight="1">
      <c r="A66" s="831"/>
      <c r="B66" s="832"/>
      <c r="C66" s="839"/>
      <c r="D66" s="251"/>
      <c r="E66" s="366"/>
      <c r="F66" s="317"/>
      <c r="G66" s="322">
        <f t="shared" si="14"/>
        <v>0</v>
      </c>
      <c r="H66" s="322">
        <f>'RTG&amp;HARBOUR FAULTS'!N44</f>
        <v>0</v>
      </c>
      <c r="I66" s="310">
        <f t="shared" si="21"/>
        <v>0</v>
      </c>
      <c r="J66" s="311">
        <f t="shared" si="15"/>
        <v>0</v>
      </c>
      <c r="K66" s="312">
        <f t="shared" si="16"/>
        <v>1440.0000000000091</v>
      </c>
      <c r="L66" s="313">
        <f t="shared" si="18"/>
        <v>100</v>
      </c>
      <c r="M66" s="350">
        <f>'RTG&amp;HARBOUR FAULTS'!O44</f>
        <v>0</v>
      </c>
      <c r="N66" s="309">
        <f t="shared" si="19"/>
        <v>0.99999999999999367</v>
      </c>
      <c r="O66" s="314" t="e">
        <f t="shared" si="20"/>
        <v>#DIV/0!</v>
      </c>
      <c r="P66" s="755"/>
      <c r="Q66" s="756"/>
      <c r="R66" s="757"/>
      <c r="S66" s="781" t="str">
        <f>CONCATENATE("RTG2-03:  ",'RTG&amp;HARBOUR FAULTS'!B44,"_",'RTG&amp;HARBOUR FAULTS'!F44,"_",'RTG&amp;HARBOUR FAULTS'!J44)</f>
        <v>RTG2-03:  NIL_NIL_NIL</v>
      </c>
      <c r="T66" s="746"/>
      <c r="U66" s="746"/>
      <c r="V66" s="746"/>
      <c r="W66" s="746"/>
      <c r="X66" s="746"/>
      <c r="Y66" s="746"/>
      <c r="Z66" s="746"/>
    </row>
    <row r="67" spans="1:26" s="226" customFormat="1" ht="68.25" customHeight="1">
      <c r="A67" s="831"/>
      <c r="B67" s="832"/>
      <c r="C67" s="839"/>
      <c r="D67" s="251"/>
      <c r="E67" s="366"/>
      <c r="F67" s="317"/>
      <c r="G67" s="322">
        <f t="shared" si="14"/>
        <v>1.25</v>
      </c>
      <c r="H67" s="322">
        <f>'RTG&amp;HARBOUR FAULTS'!N45</f>
        <v>2.0833333333333332E-2</v>
      </c>
      <c r="I67" s="310">
        <f t="shared" si="21"/>
        <v>2.0833333333333332E-2</v>
      </c>
      <c r="J67" s="311">
        <f t="shared" si="15"/>
        <v>30.000000000000188</v>
      </c>
      <c r="K67" s="312">
        <f t="shared" si="16"/>
        <v>1410.0000000000089</v>
      </c>
      <c r="L67" s="313">
        <f t="shared" si="18"/>
        <v>97.916666666666657</v>
      </c>
      <c r="M67" s="350">
        <f>'RTG&amp;HARBOUR FAULTS'!O45</f>
        <v>1</v>
      </c>
      <c r="N67" s="309">
        <f t="shared" si="19"/>
        <v>0.48958333333333015</v>
      </c>
      <c r="O67" s="314">
        <f t="shared" si="20"/>
        <v>2.0833333333327042E-2</v>
      </c>
      <c r="P67" s="755"/>
      <c r="Q67" s="756"/>
      <c r="R67" s="757"/>
      <c r="S67" s="781" t="str">
        <f>CONCATENATE("RTG2-04:  ",'RTG&amp;HARBOUR FAULTS'!B45,"_",'RTG&amp;HARBOUR FAULTS'!F45,"_",'RTG&amp;HARBOUR FAULTS'!J45)</f>
        <v>RTG2-04:  NIL_SKEWING FAULT_NIL</v>
      </c>
      <c r="T67" s="746"/>
      <c r="U67" s="746"/>
      <c r="V67" s="746"/>
      <c r="W67" s="746"/>
      <c r="X67" s="746"/>
      <c r="Y67" s="746"/>
      <c r="Z67" s="746"/>
    </row>
    <row r="68" spans="1:26" s="226" customFormat="1" ht="68.25" customHeight="1">
      <c r="A68" s="831"/>
      <c r="B68" s="832"/>
      <c r="C68" s="839"/>
      <c r="D68" s="251"/>
      <c r="E68" s="366"/>
      <c r="F68" s="317"/>
      <c r="G68" s="322">
        <f t="shared" si="14"/>
        <v>0</v>
      </c>
      <c r="H68" s="322">
        <f>'RTG&amp;HARBOUR FAULTS'!N46</f>
        <v>0</v>
      </c>
      <c r="I68" s="310">
        <f t="shared" si="21"/>
        <v>0</v>
      </c>
      <c r="J68" s="311">
        <f t="shared" si="15"/>
        <v>0</v>
      </c>
      <c r="K68" s="312">
        <f t="shared" si="16"/>
        <v>1440.0000000000091</v>
      </c>
      <c r="L68" s="313">
        <f t="shared" si="18"/>
        <v>100</v>
      </c>
      <c r="M68" s="350">
        <f>'RTG&amp;HARBOUR FAULTS'!O46</f>
        <v>0</v>
      </c>
      <c r="N68" s="309">
        <f t="shared" si="19"/>
        <v>0.99999999999999367</v>
      </c>
      <c r="O68" s="314" t="e">
        <f t="shared" si="20"/>
        <v>#DIV/0!</v>
      </c>
      <c r="P68" s="755"/>
      <c r="Q68" s="756"/>
      <c r="R68" s="757"/>
      <c r="S68" s="781" t="str">
        <f>CONCATENATE("RTG2-05:  ",'RTG&amp;HARBOUR FAULTS'!B46,"_",'RTG&amp;HARBOUR FAULTS'!F46,"_",'RTG&amp;HARBOUR FAULTS'!J46)</f>
        <v>RTG2-05:  NIL_NIL_NIL</v>
      </c>
      <c r="T68" s="746"/>
      <c r="U68" s="746"/>
      <c r="V68" s="746"/>
      <c r="W68" s="746"/>
      <c r="X68" s="746"/>
      <c r="Y68" s="746"/>
      <c r="Z68" s="746"/>
    </row>
    <row r="69" spans="1:26" s="226" customFormat="1" ht="68.25" customHeight="1">
      <c r="A69" s="831"/>
      <c r="B69" s="832"/>
      <c r="C69" s="839"/>
      <c r="D69" s="251"/>
      <c r="E69" s="366"/>
      <c r="F69" s="317"/>
      <c r="G69" s="322">
        <f t="shared" si="14"/>
        <v>60</v>
      </c>
      <c r="H69" s="322">
        <f>'RTG&amp;HARBOUR FAULTS'!N47</f>
        <v>1</v>
      </c>
      <c r="I69" s="310">
        <f t="shared" si="21"/>
        <v>1</v>
      </c>
      <c r="J69" s="311">
        <f t="shared" si="15"/>
        <v>1440.0000000000091</v>
      </c>
      <c r="K69" s="312">
        <f t="shared" si="16"/>
        <v>0</v>
      </c>
      <c r="L69" s="313">
        <f t="shared" si="18"/>
        <v>-6.3159354289786681E-13</v>
      </c>
      <c r="M69" s="350">
        <f>'RTG&amp;HARBOUR FAULTS'!O47</f>
        <v>0</v>
      </c>
      <c r="N69" s="309">
        <f t="shared" si="19"/>
        <v>-6.3159354289786285E-15</v>
      </c>
      <c r="O69" s="314" t="e">
        <f t="shared" si="20"/>
        <v>#DIV/0!</v>
      </c>
      <c r="P69" s="755"/>
      <c r="Q69" s="756"/>
      <c r="R69" s="757"/>
      <c r="S69" s="781" t="str">
        <f>CONCATENATE("RTG2-06:  ",'RTG&amp;HARBOUR FAULTS'!B47,"_",'RTG&amp;HARBOUR FAULTS'!F47,"_",'RTG&amp;HARBOUR FAULTS'!J47)</f>
        <v>RTG2-06:  STARTING-OUT _OUT_OUT</v>
      </c>
      <c r="T69" s="746"/>
      <c r="U69" s="746"/>
      <c r="V69" s="746"/>
      <c r="W69" s="746"/>
      <c r="X69" s="746"/>
      <c r="Y69" s="746"/>
      <c r="Z69" s="746"/>
    </row>
    <row r="70" spans="1:26" s="226" customFormat="1" ht="68.25" customHeight="1">
      <c r="A70" s="831"/>
      <c r="B70" s="832"/>
      <c r="C70" s="839"/>
      <c r="D70" s="251"/>
      <c r="E70" s="366"/>
      <c r="F70" s="317"/>
      <c r="G70" s="322">
        <f t="shared" si="14"/>
        <v>60</v>
      </c>
      <c r="H70" s="322">
        <f>'RTG&amp;HARBOUR FAULTS'!N48</f>
        <v>1</v>
      </c>
      <c r="I70" s="310">
        <f t="shared" si="21"/>
        <v>1</v>
      </c>
      <c r="J70" s="311">
        <f t="shared" si="15"/>
        <v>1440.0000000000091</v>
      </c>
      <c r="K70" s="312">
        <f t="shared" si="16"/>
        <v>0</v>
      </c>
      <c r="L70" s="313">
        <f t="shared" si="18"/>
        <v>-6.3159354289786681E-13</v>
      </c>
      <c r="M70" s="350">
        <f>'RTG&amp;HARBOUR FAULTS'!O48</f>
        <v>4.5138888888888888E-2</v>
      </c>
      <c r="N70" s="309">
        <f t="shared" si="19"/>
        <v>-6.0431541646041358E-15</v>
      </c>
      <c r="O70" s="314">
        <f t="shared" si="20"/>
        <v>22.153846153846011</v>
      </c>
      <c r="P70" s="755"/>
      <c r="Q70" s="756"/>
      <c r="R70" s="757"/>
      <c r="S70" s="781" t="str">
        <f>CONCATENATE("RTG2-07:  ",'RTG&amp;HARBOUR FAULTS'!B48,"_",'RTG&amp;HARBOUR FAULTS'!F48,"_",'RTG&amp;HARBOUR FAULTS'!J48)</f>
        <v>RTG2-07:  GENERATOR FAULT-OUT_OUT_OUT</v>
      </c>
      <c r="T70" s="746"/>
      <c r="U70" s="746"/>
      <c r="V70" s="746"/>
      <c r="W70" s="746"/>
      <c r="X70" s="746"/>
      <c r="Y70" s="746"/>
      <c r="Z70" s="746"/>
    </row>
    <row r="71" spans="1:26" s="226" customFormat="1" ht="68.25" customHeight="1">
      <c r="A71" s="831"/>
      <c r="B71" s="832"/>
      <c r="C71" s="839"/>
      <c r="D71" s="251"/>
      <c r="E71" s="366"/>
      <c r="F71" s="317"/>
      <c r="G71" s="322">
        <f t="shared" si="14"/>
        <v>60</v>
      </c>
      <c r="H71" s="322">
        <f>'RTG&amp;HARBOUR FAULTS'!N49</f>
        <v>1</v>
      </c>
      <c r="I71" s="310">
        <f t="shared" si="21"/>
        <v>1</v>
      </c>
      <c r="J71" s="311">
        <f t="shared" si="15"/>
        <v>1440.0000000000091</v>
      </c>
      <c r="K71" s="312">
        <f t="shared" si="16"/>
        <v>0</v>
      </c>
      <c r="L71" s="313">
        <f t="shared" si="18"/>
        <v>-6.3159354289786681E-13</v>
      </c>
      <c r="M71" s="350">
        <f>'RTG&amp;HARBOUR FAULTS'!O49</f>
        <v>0</v>
      </c>
      <c r="N71" s="309">
        <f t="shared" si="19"/>
        <v>-6.3159354289786285E-15</v>
      </c>
      <c r="O71" s="314" t="e">
        <f t="shared" si="20"/>
        <v>#DIV/0!</v>
      </c>
      <c r="P71" s="755"/>
      <c r="Q71" s="756"/>
      <c r="R71" s="757"/>
      <c r="S71" s="781" t="str">
        <f>CONCATENATE("RTG2-08:  ",'RTG&amp;HARBOUR FAULTS'!B49,"_",'RTG&amp;HARBOUR FAULTS'!F49,"_",'RTG&amp;HARBOUR FAULTS'!J49)</f>
        <v>RTG2-08:  ACCIDENT-OUT _OUT_OUT</v>
      </c>
      <c r="T71" s="746"/>
      <c r="U71" s="746"/>
      <c r="V71" s="746"/>
      <c r="W71" s="746"/>
      <c r="X71" s="746"/>
      <c r="Y71" s="746"/>
      <c r="Z71" s="746"/>
    </row>
    <row r="72" spans="1:26" s="226" customFormat="1" ht="68.25" customHeight="1">
      <c r="A72" s="831"/>
      <c r="B72" s="832"/>
      <c r="C72" s="839"/>
      <c r="D72" s="251"/>
      <c r="E72" s="366"/>
      <c r="F72" s="317"/>
      <c r="G72" s="322">
        <f t="shared" si="14"/>
        <v>0</v>
      </c>
      <c r="H72" s="322">
        <f>'RTG&amp;HARBOUR FAULTS'!N50</f>
        <v>0</v>
      </c>
      <c r="I72" s="310">
        <f t="shared" si="21"/>
        <v>0</v>
      </c>
      <c r="J72" s="311">
        <f t="shared" si="15"/>
        <v>0</v>
      </c>
      <c r="K72" s="312">
        <f t="shared" si="16"/>
        <v>1440.0000000000091</v>
      </c>
      <c r="L72" s="313">
        <f t="shared" si="18"/>
        <v>100</v>
      </c>
      <c r="M72" s="350">
        <f>'RTG&amp;HARBOUR FAULTS'!O50</f>
        <v>0</v>
      </c>
      <c r="N72" s="309">
        <f t="shared" si="19"/>
        <v>0.99999999999999367</v>
      </c>
      <c r="O72" s="314" t="e">
        <f t="shared" si="20"/>
        <v>#DIV/0!</v>
      </c>
      <c r="P72" s="755"/>
      <c r="Q72" s="756"/>
      <c r="R72" s="757"/>
      <c r="S72" s="781" t="str">
        <f>CONCATENATE("RTG2-09:  ",'RTG&amp;HARBOUR FAULTS'!B50,"_",'RTG&amp;HARBOUR FAULTS'!F50,"_",'RTG&amp;HARBOUR FAULTS'!J50)</f>
        <v>RTG2-09:  NIL_NIL_NIL</v>
      </c>
      <c r="T72" s="746"/>
      <c r="U72" s="746"/>
      <c r="V72" s="746"/>
      <c r="W72" s="746"/>
      <c r="X72" s="746"/>
      <c r="Y72" s="746"/>
      <c r="Z72" s="746"/>
    </row>
    <row r="73" spans="1:26" s="226" customFormat="1" ht="68.25" customHeight="1">
      <c r="A73" s="831"/>
      <c r="B73" s="832"/>
      <c r="C73" s="839"/>
      <c r="D73" s="251"/>
      <c r="E73" s="366"/>
      <c r="F73" s="317"/>
      <c r="G73" s="322">
        <f t="shared" si="14"/>
        <v>60</v>
      </c>
      <c r="H73" s="322">
        <f>'RTG&amp;HARBOUR FAULTS'!N51</f>
        <v>1</v>
      </c>
      <c r="I73" s="310">
        <f t="shared" si="21"/>
        <v>1</v>
      </c>
      <c r="J73" s="311">
        <f t="shared" si="15"/>
        <v>1440.0000000000091</v>
      </c>
      <c r="K73" s="312">
        <f t="shared" si="16"/>
        <v>0</v>
      </c>
      <c r="L73" s="313">
        <f t="shared" si="18"/>
        <v>-6.3159354289786681E-13</v>
      </c>
      <c r="M73" s="350">
        <f>'RTG&amp;HARBOUR FAULTS'!O51</f>
        <v>0</v>
      </c>
      <c r="N73" s="309">
        <f t="shared" si="19"/>
        <v>-6.3159354289786285E-15</v>
      </c>
      <c r="O73" s="314" t="e">
        <f t="shared" si="20"/>
        <v>#DIV/0!</v>
      </c>
      <c r="P73" s="755"/>
      <c r="Q73" s="756"/>
      <c r="R73" s="757"/>
      <c r="S73" s="781" t="str">
        <f>CONCATENATE("RTG2-10:  ",'RTG&amp;HARBOUR FAULTS'!B51,"_",'RTG&amp;HARBOUR FAULTS'!F51,"_",'RTG&amp;HARBOUR FAULTS'!J51)</f>
        <v>RTG2-10:  NO ALTERNATOR VOLTAGE-OUT_OUT_OUT</v>
      </c>
      <c r="T73" s="746"/>
      <c r="U73" s="746"/>
      <c r="V73" s="746"/>
      <c r="W73" s="746"/>
      <c r="X73" s="746"/>
      <c r="Y73" s="746"/>
      <c r="Z73" s="746"/>
    </row>
    <row r="74" spans="1:26" s="226" customFormat="1" ht="68.25" customHeight="1">
      <c r="A74" s="831"/>
      <c r="B74" s="832"/>
      <c r="C74" s="839"/>
      <c r="D74" s="251"/>
      <c r="E74" s="366"/>
      <c r="F74" s="317"/>
      <c r="G74" s="322">
        <f t="shared" si="14"/>
        <v>0</v>
      </c>
      <c r="H74" s="322">
        <f>'RTG&amp;HARBOUR FAULTS'!N52</f>
        <v>0</v>
      </c>
      <c r="I74" s="310">
        <f t="shared" si="21"/>
        <v>0</v>
      </c>
      <c r="J74" s="311">
        <f t="shared" si="15"/>
        <v>0</v>
      </c>
      <c r="K74" s="312">
        <f t="shared" si="16"/>
        <v>1440.0000000000091</v>
      </c>
      <c r="L74" s="313">
        <f t="shared" si="18"/>
        <v>100</v>
      </c>
      <c r="M74" s="350">
        <f>'RTG&amp;HARBOUR FAULTS'!O52</f>
        <v>0</v>
      </c>
      <c r="N74" s="309">
        <f t="shared" si="19"/>
        <v>0.99999999999999367</v>
      </c>
      <c r="O74" s="314" t="e">
        <f t="shared" si="20"/>
        <v>#DIV/0!</v>
      </c>
      <c r="P74" s="755"/>
      <c r="Q74" s="756"/>
      <c r="R74" s="757"/>
      <c r="S74" s="781" t="str">
        <f>CONCATENATE("RTG2-11:  ",'RTG&amp;HARBOUR FAULTS'!B52,"_",'RTG&amp;HARBOUR FAULTS'!F52,"_",'RTG&amp;HARBOUR FAULTS'!J52)</f>
        <v>RTG2-11:  NIL_NIL_NIL</v>
      </c>
      <c r="T74" s="746"/>
      <c r="U74" s="746"/>
      <c r="V74" s="746"/>
      <c r="W74" s="746"/>
      <c r="X74" s="746"/>
      <c r="Y74" s="746"/>
      <c r="Z74" s="746"/>
    </row>
    <row r="75" spans="1:26" s="226" customFormat="1" ht="68.25" customHeight="1">
      <c r="A75" s="831"/>
      <c r="B75" s="832"/>
      <c r="C75" s="839"/>
      <c r="D75" s="251"/>
      <c r="E75" s="366"/>
      <c r="F75" s="317"/>
      <c r="G75" s="322">
        <f t="shared" si="14"/>
        <v>1.25</v>
      </c>
      <c r="H75" s="322">
        <f>'RTG&amp;HARBOUR FAULTS'!N53</f>
        <v>2.0833333333333332E-2</v>
      </c>
      <c r="I75" s="310">
        <f t="shared" si="21"/>
        <v>2.0833333333333332E-2</v>
      </c>
      <c r="J75" s="311">
        <f t="shared" si="15"/>
        <v>30.000000000000188</v>
      </c>
      <c r="K75" s="312">
        <f t="shared" si="16"/>
        <v>1410.0000000000089</v>
      </c>
      <c r="L75" s="313">
        <f t="shared" si="18"/>
        <v>97.916666666666657</v>
      </c>
      <c r="M75" s="350">
        <f>'RTG&amp;HARBOUR FAULTS'!O53</f>
        <v>1</v>
      </c>
      <c r="N75" s="309">
        <f t="shared" si="19"/>
        <v>0.48958333333333015</v>
      </c>
      <c r="O75" s="314">
        <f t="shared" si="20"/>
        <v>2.0833333333327042E-2</v>
      </c>
      <c r="P75" s="755"/>
      <c r="Q75" s="756"/>
      <c r="R75" s="757"/>
      <c r="S75" s="781" t="str">
        <f>CONCATENATE("RTG2-12:  ",'RTG&amp;HARBOUR FAULTS'!B53,"_",'RTG&amp;HARBOUR FAULTS'!F53,"_",'RTG&amp;HARBOUR FAULTS'!J53)</f>
        <v>RTG2-12:  NIL_NIL_ENGINE STARTING</v>
      </c>
      <c r="T75" s="746"/>
      <c r="U75" s="746"/>
      <c r="V75" s="746"/>
      <c r="W75" s="746"/>
      <c r="X75" s="746"/>
      <c r="Y75" s="746"/>
      <c r="Z75" s="746"/>
    </row>
    <row r="76" spans="1:26" s="226" customFormat="1" ht="68.25" customHeight="1">
      <c r="A76" s="831"/>
      <c r="B76" s="832"/>
      <c r="C76" s="839"/>
      <c r="D76" s="251"/>
      <c r="E76" s="366"/>
      <c r="F76" s="317"/>
      <c r="G76" s="322">
        <f t="shared" si="14"/>
        <v>0</v>
      </c>
      <c r="H76" s="322">
        <f>'RTG&amp;HARBOUR FAULTS'!N54</f>
        <v>0</v>
      </c>
      <c r="I76" s="310">
        <f t="shared" si="21"/>
        <v>0</v>
      </c>
      <c r="J76" s="311">
        <f t="shared" si="15"/>
        <v>0</v>
      </c>
      <c r="K76" s="312">
        <f t="shared" si="16"/>
        <v>1440.0000000000091</v>
      </c>
      <c r="L76" s="313">
        <f t="shared" si="18"/>
        <v>100</v>
      </c>
      <c r="M76" s="350">
        <f>'RTG&amp;HARBOUR FAULTS'!O54</f>
        <v>0</v>
      </c>
      <c r="N76" s="309">
        <f t="shared" si="19"/>
        <v>0.99999999999999367</v>
      </c>
      <c r="O76" s="314" t="e">
        <f t="shared" si="20"/>
        <v>#DIV/0!</v>
      </c>
      <c r="P76" s="755"/>
      <c r="Q76" s="756"/>
      <c r="R76" s="757"/>
      <c r="S76" s="781" t="str">
        <f>CONCATENATE("RTG2-13:  ",'RTG&amp;HARBOUR FAULTS'!B54,"_",'RTG&amp;HARBOUR FAULTS'!F54,"_",'RTG&amp;HARBOUR FAULTS'!J54)</f>
        <v>RTG2-13:  NIL_NIL_NIL</v>
      </c>
      <c r="T76" s="746"/>
      <c r="U76" s="746"/>
      <c r="V76" s="746"/>
      <c r="W76" s="746"/>
      <c r="X76" s="746"/>
      <c r="Y76" s="746"/>
      <c r="Z76" s="746"/>
    </row>
    <row r="77" spans="1:26" s="226" customFormat="1" ht="68.25" customHeight="1">
      <c r="A77" s="831"/>
      <c r="B77" s="832"/>
      <c r="C77" s="839"/>
      <c r="D77" s="251"/>
      <c r="E77" s="366"/>
      <c r="F77" s="317"/>
      <c r="G77" s="322">
        <f t="shared" si="14"/>
        <v>0.625</v>
      </c>
      <c r="H77" s="322">
        <f>'RTG&amp;HARBOUR FAULTS'!N55</f>
        <v>1.0416666666666666E-2</v>
      </c>
      <c r="I77" s="310">
        <f t="shared" si="21"/>
        <v>1.0416666666666666E-2</v>
      </c>
      <c r="J77" s="311">
        <f t="shared" si="15"/>
        <v>15.000000000000094</v>
      </c>
      <c r="K77" s="312">
        <f t="shared" si="16"/>
        <v>1425.0000000000091</v>
      </c>
      <c r="L77" s="313">
        <f t="shared" si="18"/>
        <v>98.958333333333343</v>
      </c>
      <c r="M77" s="350">
        <f>'RTG&amp;HARBOUR FAULTS'!O55</f>
        <v>1</v>
      </c>
      <c r="N77" s="309">
        <f t="shared" si="19"/>
        <v>0.49479166666666352</v>
      </c>
      <c r="O77" s="314">
        <f t="shared" si="20"/>
        <v>1.0416666666660284E-2</v>
      </c>
      <c r="P77" s="755"/>
      <c r="Q77" s="756"/>
      <c r="R77" s="757"/>
      <c r="S77" s="781" t="str">
        <f>CONCATENATE("RTG2-14:  ",'RTG&amp;HARBOUR FAULTS'!B55,"_",'RTG&amp;HARBOUR FAULTS'!F55,"_",'RTG&amp;HARBOUR FAULTS'!J55)</f>
        <v>RTG2-14:  NIL_NIL_LOCK SIGNAL</v>
      </c>
      <c r="T77" s="746"/>
      <c r="U77" s="746"/>
      <c r="V77" s="746"/>
      <c r="W77" s="746"/>
      <c r="X77" s="746"/>
      <c r="Y77" s="746"/>
      <c r="Z77" s="746"/>
    </row>
    <row r="78" spans="1:26" s="226" customFormat="1" ht="68.25" customHeight="1">
      <c r="A78" s="831"/>
      <c r="B78" s="832"/>
      <c r="C78" s="839"/>
      <c r="D78" s="251"/>
      <c r="E78" s="366"/>
      <c r="F78" s="317"/>
      <c r="G78" s="322">
        <f t="shared" si="14"/>
        <v>0</v>
      </c>
      <c r="H78" s="322">
        <f>'RTG&amp;HARBOUR FAULTS'!N56</f>
        <v>0</v>
      </c>
      <c r="I78" s="310">
        <f t="shared" si="21"/>
        <v>0</v>
      </c>
      <c r="J78" s="311">
        <f t="shared" si="15"/>
        <v>0</v>
      </c>
      <c r="K78" s="312">
        <f t="shared" si="16"/>
        <v>1440.0000000000091</v>
      </c>
      <c r="L78" s="313">
        <f t="shared" si="18"/>
        <v>100</v>
      </c>
      <c r="M78" s="350">
        <f>'RTG&amp;HARBOUR FAULTS'!O56</f>
        <v>0</v>
      </c>
      <c r="N78" s="309">
        <f t="shared" si="19"/>
        <v>0.99999999999999367</v>
      </c>
      <c r="O78" s="314" t="e">
        <f t="shared" si="20"/>
        <v>#DIV/0!</v>
      </c>
      <c r="P78" s="755"/>
      <c r="Q78" s="756"/>
      <c r="R78" s="757"/>
      <c r="S78" s="781" t="str">
        <f>CONCATENATE("RTG2-15:  ",'RTG&amp;HARBOUR FAULTS'!B56,"_",'RTG&amp;HARBOUR FAULTS'!F56,"_",'RTG&amp;HARBOUR FAULTS'!J56)</f>
        <v>RTG2-15:  NIL_NIL_NIL</v>
      </c>
      <c r="T78" s="746"/>
      <c r="U78" s="746"/>
      <c r="V78" s="746"/>
      <c r="W78" s="746"/>
      <c r="X78" s="746"/>
      <c r="Y78" s="746"/>
      <c r="Z78" s="746"/>
    </row>
    <row r="79" spans="1:26" s="226" customFormat="1" ht="68.25" customHeight="1">
      <c r="A79" s="831"/>
      <c r="B79" s="832"/>
      <c r="C79" s="839"/>
      <c r="D79" s="251"/>
      <c r="E79" s="366"/>
      <c r="F79" s="317"/>
      <c r="G79" s="322">
        <f t="shared" si="14"/>
        <v>0</v>
      </c>
      <c r="H79" s="322">
        <f>'RTG&amp;HARBOUR FAULTS'!N57</f>
        <v>0</v>
      </c>
      <c r="I79" s="310">
        <f t="shared" si="21"/>
        <v>0</v>
      </c>
      <c r="J79" s="311">
        <f t="shared" si="15"/>
        <v>0</v>
      </c>
      <c r="K79" s="312">
        <f t="shared" si="16"/>
        <v>1440.0000000000091</v>
      </c>
      <c r="L79" s="313">
        <f t="shared" si="18"/>
        <v>100</v>
      </c>
      <c r="M79" s="350">
        <f>'RTG&amp;HARBOUR FAULTS'!O57</f>
        <v>0</v>
      </c>
      <c r="N79" s="309">
        <f t="shared" si="19"/>
        <v>0.99999999999999367</v>
      </c>
      <c r="O79" s="314" t="e">
        <f t="shared" si="20"/>
        <v>#DIV/0!</v>
      </c>
      <c r="P79" s="755"/>
      <c r="Q79" s="756"/>
      <c r="R79" s="757"/>
      <c r="S79" s="781" t="str">
        <f>CONCATENATE("RTG2-16:  ",'RTG&amp;HARBOUR FAULTS'!B57,"_",'RTG&amp;HARBOUR FAULTS'!F57,"_",'RTG&amp;HARBOUR FAULTS'!J57)</f>
        <v>RTG2-16:  NIL_NIL_NIL</v>
      </c>
      <c r="T79" s="746"/>
      <c r="U79" s="746"/>
      <c r="V79" s="746"/>
      <c r="W79" s="746"/>
      <c r="X79" s="746"/>
      <c r="Y79" s="746"/>
      <c r="Z79" s="746"/>
    </row>
    <row r="80" spans="1:26" s="226" customFormat="1" ht="68.25" customHeight="1">
      <c r="A80" s="831"/>
      <c r="B80" s="832"/>
      <c r="C80" s="839"/>
      <c r="D80" s="349"/>
      <c r="E80" s="231"/>
      <c r="F80" s="348"/>
      <c r="G80" s="322">
        <f t="shared" si="14"/>
        <v>0</v>
      </c>
      <c r="H80" s="322">
        <f>'RTG&amp;HARBOUR FAULTS'!N58</f>
        <v>0</v>
      </c>
      <c r="I80" s="310"/>
      <c r="J80" s="311"/>
      <c r="K80" s="312"/>
      <c r="L80" s="313">
        <f t="shared" si="18"/>
        <v>100</v>
      </c>
      <c r="M80" s="350">
        <f>'RTG&amp;HARBOUR FAULTS'!O58</f>
        <v>0</v>
      </c>
      <c r="N80" s="309">
        <f t="shared" si="19"/>
        <v>0.99999999999999367</v>
      </c>
      <c r="O80" s="314" t="e">
        <f t="shared" si="20"/>
        <v>#DIV/0!</v>
      </c>
      <c r="P80" s="755"/>
      <c r="Q80" s="756"/>
      <c r="R80" s="757"/>
      <c r="S80" s="781" t="str">
        <f>CONCATENATE("RTG2-17:  ",'RTG&amp;HARBOUR FAULTS'!B58,"_",'RTG&amp;HARBOUR FAULTS'!F58,"_",'RTG&amp;HARBOUR FAULTS'!J58)</f>
        <v>RTG2-17:  NIL_NIL_NIL</v>
      </c>
      <c r="T80" s="746"/>
      <c r="U80" s="746"/>
      <c r="V80" s="746"/>
      <c r="W80" s="746"/>
      <c r="X80" s="746"/>
      <c r="Y80" s="746"/>
      <c r="Z80" s="746"/>
    </row>
    <row r="81" spans="1:27" s="226" customFormat="1" ht="68.25" customHeight="1">
      <c r="A81" s="831"/>
      <c r="B81" s="832"/>
      <c r="C81" s="839"/>
      <c r="D81" s="349"/>
      <c r="E81" s="231"/>
      <c r="F81" s="348"/>
      <c r="G81" s="322">
        <f t="shared" si="14"/>
        <v>0</v>
      </c>
      <c r="H81" s="322">
        <f>'RTG&amp;HARBOUR FAULTS'!N59</f>
        <v>0</v>
      </c>
      <c r="I81" s="310"/>
      <c r="J81" s="311"/>
      <c r="K81" s="312"/>
      <c r="L81" s="313">
        <f t="shared" si="18"/>
        <v>100</v>
      </c>
      <c r="M81" s="350">
        <f>'RTG&amp;HARBOUR FAULTS'!O59</f>
        <v>0</v>
      </c>
      <c r="N81" s="309">
        <f t="shared" si="19"/>
        <v>0.99999999999999367</v>
      </c>
      <c r="O81" s="314" t="e">
        <f t="shared" si="20"/>
        <v>#DIV/0!</v>
      </c>
      <c r="P81" s="755"/>
      <c r="Q81" s="756"/>
      <c r="R81" s="757"/>
      <c r="S81" s="781" t="str">
        <f>CONCATENATE("RTG2-18:  ",'RTG&amp;HARBOUR FAULTS'!B59,"_",'RTG&amp;HARBOUR FAULTS'!F59,"_",'RTG&amp;HARBOUR FAULTS'!J59)</f>
        <v>RTG2-18:  NIL_NIL_NIL</v>
      </c>
      <c r="T81" s="746"/>
      <c r="U81" s="746"/>
      <c r="V81" s="746"/>
      <c r="W81" s="746"/>
      <c r="X81" s="746"/>
      <c r="Y81" s="746"/>
      <c r="Z81" s="746"/>
    </row>
    <row r="82" spans="1:27" s="226" customFormat="1" ht="68.25" customHeight="1">
      <c r="A82" s="831"/>
      <c r="B82" s="832"/>
      <c r="C82" s="839"/>
      <c r="D82" s="349"/>
      <c r="E82" s="231"/>
      <c r="F82" s="348"/>
      <c r="G82" s="322">
        <f t="shared" si="14"/>
        <v>0</v>
      </c>
      <c r="H82" s="322">
        <f>'RTG&amp;HARBOUR FAULTS'!N60</f>
        <v>0</v>
      </c>
      <c r="I82" s="310"/>
      <c r="J82" s="311"/>
      <c r="K82" s="312"/>
      <c r="L82" s="313">
        <f t="shared" si="18"/>
        <v>100</v>
      </c>
      <c r="M82" s="350">
        <f>'RTG&amp;HARBOUR FAULTS'!O60</f>
        <v>0</v>
      </c>
      <c r="N82" s="309">
        <f t="shared" si="19"/>
        <v>0.99999999999999367</v>
      </c>
      <c r="O82" s="314" t="e">
        <f t="shared" si="20"/>
        <v>#DIV/0!</v>
      </c>
      <c r="P82" s="755"/>
      <c r="Q82" s="756"/>
      <c r="R82" s="757"/>
      <c r="S82" s="781" t="str">
        <f>CONCATENATE("RTG2-19:  ",'RTG&amp;HARBOUR FAULTS'!B60,"_",'RTG&amp;HARBOUR FAULTS'!F60,"_",'RTG&amp;HARBOUR FAULTS'!J60)</f>
        <v>RTG2-19:  NIL_NIL_NIL</v>
      </c>
      <c r="T82" s="746"/>
      <c r="U82" s="746"/>
      <c r="V82" s="746"/>
      <c r="W82" s="746"/>
      <c r="X82" s="746"/>
      <c r="Y82" s="746"/>
      <c r="Z82" s="746"/>
    </row>
    <row r="83" spans="1:27" s="226" customFormat="1" ht="68.25" customHeight="1">
      <c r="A83" s="831"/>
      <c r="B83" s="832"/>
      <c r="C83" s="839"/>
      <c r="D83" s="349"/>
      <c r="E83" s="231"/>
      <c r="F83" s="348"/>
      <c r="G83" s="322">
        <f t="shared" si="14"/>
        <v>60</v>
      </c>
      <c r="H83" s="322">
        <f>'RTG&amp;HARBOUR FAULTS'!N61</f>
        <v>1</v>
      </c>
      <c r="I83" s="310"/>
      <c r="J83" s="311"/>
      <c r="K83" s="312"/>
      <c r="L83" s="313">
        <f t="shared" si="18"/>
        <v>100</v>
      </c>
      <c r="M83" s="350">
        <f>'RTG&amp;HARBOUR FAULTS'!O61</f>
        <v>0</v>
      </c>
      <c r="N83" s="309">
        <f t="shared" si="19"/>
        <v>0.99999999999999367</v>
      </c>
      <c r="O83" s="314" t="e">
        <f t="shared" si="20"/>
        <v>#DIV/0!</v>
      </c>
      <c r="P83" s="755"/>
      <c r="Q83" s="756"/>
      <c r="R83" s="757"/>
      <c r="S83" s="781" t="str">
        <f>CONCATENATE("RTG2-20:  ",'RTG&amp;HARBOUR FAULTS'!B61,"_",'RTG&amp;HARBOUR FAULTS'!F61,"_",'RTG&amp;HARBOUR FAULTS'!J61)</f>
        <v>RTG2-20:  ACCIDENT-SPD LOCK MOTOR FAULT-OUT_OUT_OUT</v>
      </c>
      <c r="T83" s="746"/>
      <c r="U83" s="746"/>
      <c r="V83" s="746"/>
      <c r="W83" s="746"/>
      <c r="X83" s="746"/>
      <c r="Y83" s="746"/>
      <c r="Z83" s="746"/>
    </row>
    <row r="84" spans="1:27" s="226" customFormat="1" ht="68.25" customHeight="1">
      <c r="A84" s="831"/>
      <c r="B84" s="832"/>
      <c r="C84" s="839"/>
      <c r="D84" s="349"/>
      <c r="E84" s="231"/>
      <c r="F84" s="348"/>
      <c r="G84" s="322"/>
      <c r="H84" s="322">
        <f>'RTG&amp;HARBOUR FAULTS'!N62</f>
        <v>0</v>
      </c>
      <c r="I84" s="310"/>
      <c r="J84" s="311"/>
      <c r="K84" s="312"/>
      <c r="L84" s="313">
        <f t="shared" ref="L84:L88" si="22">((1440-(J84))/1440)*100</f>
        <v>100</v>
      </c>
      <c r="M84" s="350">
        <f>'RTG&amp;HARBOUR FAULTS'!O62</f>
        <v>0</v>
      </c>
      <c r="N84" s="309">
        <f t="shared" ref="N84:N88" si="23">((1440-J84)/(M84+1))*0.00069444444444444</f>
        <v>0.99999999999999367</v>
      </c>
      <c r="O84" s="314" t="e">
        <f t="shared" ref="O84:O88" si="24">((1440-K84)/(M84))*0.00069444444444444</f>
        <v>#DIV/0!</v>
      </c>
      <c r="P84" s="755"/>
      <c r="Q84" s="756"/>
      <c r="R84" s="757"/>
      <c r="S84" s="781" t="str">
        <f>CONCATENATE("RTG2-21:  ",'RTG&amp;HARBOUR FAULTS'!B62,"_",'RTG&amp;HARBOUR FAULTS'!F62,"_",'RTG&amp;HARBOUR FAULTS'!J62)</f>
        <v>RTG2-21:  NIL_NIL_NIL</v>
      </c>
      <c r="T84" s="746"/>
      <c r="U84" s="746"/>
      <c r="V84" s="746"/>
      <c r="W84" s="746"/>
      <c r="X84" s="746"/>
      <c r="Y84" s="746"/>
      <c r="Z84" s="746"/>
    </row>
    <row r="85" spans="1:27" s="226" customFormat="1" ht="68.25" customHeight="1">
      <c r="A85" s="831"/>
      <c r="B85" s="832"/>
      <c r="C85" s="839"/>
      <c r="D85" s="349"/>
      <c r="E85" s="231"/>
      <c r="F85" s="348"/>
      <c r="G85" s="322"/>
      <c r="H85" s="322">
        <f>'RTG&amp;HARBOUR FAULTS'!N63</f>
        <v>1</v>
      </c>
      <c r="I85" s="310"/>
      <c r="J85" s="311"/>
      <c r="K85" s="312"/>
      <c r="L85" s="313">
        <f t="shared" si="22"/>
        <v>100</v>
      </c>
      <c r="M85" s="350">
        <f>'RTG&amp;HARBOUR FAULTS'!O63</f>
        <v>0</v>
      </c>
      <c r="N85" s="309">
        <f t="shared" si="23"/>
        <v>0.99999999999999367</v>
      </c>
      <c r="O85" s="314" t="e">
        <f t="shared" si="24"/>
        <v>#DIV/0!</v>
      </c>
      <c r="P85" s="755"/>
      <c r="Q85" s="756"/>
      <c r="R85" s="757"/>
      <c r="S85" s="781" t="str">
        <f>CONCATENATE("RTG2-22:  ",'RTG&amp;HARBOUR FAULTS'!B63,"_",'RTG&amp;HARBOUR FAULTS'!F63,"_",'RTG&amp;HARBOUR FAULTS'!J63)</f>
        <v>RTG2-22:  BATTERY FAULT-OUT_OUT_OUT</v>
      </c>
      <c r="T85" s="746"/>
      <c r="U85" s="746"/>
      <c r="V85" s="746"/>
      <c r="W85" s="746"/>
      <c r="X85" s="746"/>
      <c r="Y85" s="746"/>
      <c r="Z85" s="746"/>
    </row>
    <row r="86" spans="1:27" s="226" customFormat="1" ht="68.25" customHeight="1">
      <c r="A86" s="831"/>
      <c r="B86" s="832"/>
      <c r="C86" s="839"/>
      <c r="D86" s="349"/>
      <c r="E86" s="231"/>
      <c r="F86" s="348"/>
      <c r="G86" s="322"/>
      <c r="H86" s="322">
        <f>'RTG&amp;HARBOUR FAULTS'!N64</f>
        <v>1.0416666666666666E-2</v>
      </c>
      <c r="I86" s="310"/>
      <c r="J86" s="311"/>
      <c r="K86" s="312"/>
      <c r="L86" s="313">
        <f t="shared" si="22"/>
        <v>100</v>
      </c>
      <c r="M86" s="350">
        <f>'RTG&amp;HARBOUR FAULTS'!O64</f>
        <v>1</v>
      </c>
      <c r="N86" s="309">
        <f t="shared" si="23"/>
        <v>0.49999999999999684</v>
      </c>
      <c r="O86" s="314">
        <f t="shared" si="24"/>
        <v>0.99999999999999367</v>
      </c>
      <c r="P86" s="755"/>
      <c r="Q86" s="756"/>
      <c r="R86" s="757"/>
      <c r="S86" s="781" t="str">
        <f>CONCATENATE("RTG2-24:  ",'RTG&amp;HARBOUR FAULTS'!B64,"_",'RTG&amp;HARBOUR FAULTS'!F64,"_",'RTG&amp;HARBOUR FAULTS'!J64)</f>
        <v>RTG2-24:  NIL_NIL_ECCENTRIC OVERLOAD</v>
      </c>
      <c r="T86" s="746"/>
      <c r="U86" s="746"/>
      <c r="V86" s="746"/>
      <c r="W86" s="746"/>
      <c r="X86" s="746"/>
      <c r="Y86" s="746"/>
      <c r="Z86" s="746"/>
    </row>
    <row r="87" spans="1:27" s="226" customFormat="1" ht="68.25" customHeight="1">
      <c r="A87" s="831"/>
      <c r="B87" s="832"/>
      <c r="C87" s="839"/>
      <c r="D87" s="349"/>
      <c r="E87" s="231"/>
      <c r="F87" s="348"/>
      <c r="G87" s="322"/>
      <c r="H87" s="322">
        <f>'RTG&amp;HARBOUR FAULTS'!N65</f>
        <v>2.4305555555555556E-2</v>
      </c>
      <c r="I87" s="310"/>
      <c r="J87" s="311"/>
      <c r="K87" s="312"/>
      <c r="L87" s="313">
        <f t="shared" ref="L87" si="25">((1440-(J87))/1440)*100</f>
        <v>100</v>
      </c>
      <c r="M87" s="350">
        <f>'RTG&amp;HARBOUR FAULTS'!O65</f>
        <v>1</v>
      </c>
      <c r="N87" s="309">
        <f t="shared" ref="N87" si="26">((1440-J87)/(M87+1))*0.00069444444444444</f>
        <v>0.49999999999999684</v>
      </c>
      <c r="O87" s="314">
        <f t="shared" ref="O87" si="27">((1440-K87)/(M87))*0.00069444444444444</f>
        <v>0.99999999999999367</v>
      </c>
      <c r="P87" s="755"/>
      <c r="Q87" s="756"/>
      <c r="R87" s="757"/>
      <c r="S87" s="781" t="str">
        <f>CONCATENATE("RTG2-25:  ",'RTG&amp;HARBOUR FAULTS'!B65,"_",'RTG&amp;HARBOUR FAULTS'!F65,"_",'RTG&amp;HARBOUR FAULTS'!J65)</f>
        <v>RTG2-25:  LOCK SIGNAL_NIL_NIL</v>
      </c>
      <c r="T87" s="746"/>
      <c r="U87" s="746"/>
      <c r="V87" s="746"/>
      <c r="W87" s="746"/>
      <c r="X87" s="746"/>
      <c r="Y87" s="746"/>
      <c r="Z87" s="746"/>
    </row>
    <row r="88" spans="1:27" s="226" customFormat="1" ht="68.25" customHeight="1">
      <c r="A88" s="831"/>
      <c r="B88" s="832"/>
      <c r="C88" s="839"/>
      <c r="D88" s="349"/>
      <c r="E88" s="231"/>
      <c r="F88" s="348"/>
      <c r="G88" s="322"/>
      <c r="H88" s="322">
        <f>'RTG&amp;HARBOUR FAULTS'!N66</f>
        <v>0</v>
      </c>
      <c r="I88" s="310"/>
      <c r="J88" s="311"/>
      <c r="K88" s="312"/>
      <c r="L88" s="313">
        <f t="shared" si="22"/>
        <v>100</v>
      </c>
      <c r="M88" s="350">
        <f>'RTG&amp;HARBOUR FAULTS'!O66</f>
        <v>0</v>
      </c>
      <c r="N88" s="309">
        <f t="shared" si="23"/>
        <v>0.99999999999999367</v>
      </c>
      <c r="O88" s="314" t="e">
        <f t="shared" si="24"/>
        <v>#DIV/0!</v>
      </c>
      <c r="P88" s="755"/>
      <c r="Q88" s="756"/>
      <c r="R88" s="757"/>
      <c r="S88" s="781" t="str">
        <f>CONCATENATE("RTG2-26:  ",'RTG&amp;HARBOUR FAULTS'!B66,"_",'RTG&amp;HARBOUR FAULTS'!F66,"_",'RTG&amp;HARBOUR FAULTS'!J66)</f>
        <v>RTG2-26:  NIL_NIL_NIL</v>
      </c>
      <c r="T88" s="746"/>
      <c r="U88" s="746"/>
      <c r="V88" s="746"/>
      <c r="W88" s="746"/>
      <c r="X88" s="746"/>
      <c r="Y88" s="746"/>
      <c r="Z88" s="746"/>
    </row>
    <row r="89" spans="1:27" s="226" customFormat="1" ht="68.25" customHeight="1">
      <c r="A89" s="831"/>
      <c r="B89" s="832"/>
      <c r="C89" s="839"/>
      <c r="D89" s="349"/>
      <c r="E89" s="231"/>
      <c r="F89" s="348"/>
      <c r="G89" s="322"/>
      <c r="H89" s="322">
        <f>'RTG&amp;HARBOUR FAULTS'!N67</f>
        <v>0</v>
      </c>
      <c r="I89" s="310"/>
      <c r="J89" s="311"/>
      <c r="K89" s="312"/>
      <c r="L89" s="313">
        <f t="shared" ref="L89:L92" si="28">((1440-(J89))/1440)*100</f>
        <v>100</v>
      </c>
      <c r="M89" s="350">
        <f>'RTG&amp;HARBOUR FAULTS'!O71</f>
        <v>0</v>
      </c>
      <c r="N89" s="309">
        <f t="shared" ref="N89:N92" si="29">((1440-J89)/(M89+1))*0.00069444444444444</f>
        <v>0.99999999999999367</v>
      </c>
      <c r="O89" s="314" t="e">
        <f t="shared" ref="O89:O92" si="30">((1440-K89)/(M89))*0.00069444444444444</f>
        <v>#DIV/0!</v>
      </c>
      <c r="P89" s="755"/>
      <c r="Q89" s="756"/>
      <c r="R89" s="757"/>
      <c r="S89" s="781" t="str">
        <f>CONCATENATE("RTG2-27:  ",'RTG&amp;HARBOUR FAULTS'!B67,"_",'RTG&amp;HARBOUR FAULTS'!F67,"_",'RTG&amp;HARBOUR FAULTS'!J67)</f>
        <v>RTG2-27:  NIL_NIL_NIL</v>
      </c>
      <c r="T89" s="746"/>
      <c r="U89" s="746"/>
      <c r="V89" s="746"/>
      <c r="W89" s="746"/>
      <c r="X89" s="746"/>
      <c r="Y89" s="746"/>
      <c r="Z89" s="746"/>
    </row>
    <row r="90" spans="1:27" s="226" customFormat="1" ht="68.25" customHeight="1">
      <c r="A90" s="831"/>
      <c r="B90" s="832"/>
      <c r="C90" s="839"/>
      <c r="D90" s="349"/>
      <c r="E90" s="231"/>
      <c r="F90" s="348"/>
      <c r="G90" s="322"/>
      <c r="H90" s="322">
        <f>'RTG&amp;HARBOUR FAULTS'!N68</f>
        <v>0</v>
      </c>
      <c r="I90" s="310"/>
      <c r="J90" s="311"/>
      <c r="K90" s="312"/>
      <c r="L90" s="313">
        <f t="shared" si="28"/>
        <v>100</v>
      </c>
      <c r="M90" s="350">
        <f>'RTG&amp;HARBOUR FAULTS'!O72</f>
        <v>0</v>
      </c>
      <c r="N90" s="309">
        <f t="shared" si="29"/>
        <v>0.99999999999999367</v>
      </c>
      <c r="O90" s="314" t="e">
        <f t="shared" si="30"/>
        <v>#DIV/0!</v>
      </c>
      <c r="P90" s="755"/>
      <c r="Q90" s="756"/>
      <c r="R90" s="757"/>
      <c r="S90" s="781" t="str">
        <f>CONCATENATE("RTG2-28:  ",'RTG&amp;HARBOUR FAULTS'!B68,"_",'RTG&amp;HARBOUR FAULTS'!F68,"_",'RTG&amp;HARBOUR FAULTS'!J68)</f>
        <v>RTG2-28:  NIL_NIL_NIL</v>
      </c>
      <c r="T90" s="746"/>
      <c r="U90" s="746"/>
      <c r="V90" s="746"/>
      <c r="W90" s="746"/>
      <c r="X90" s="746"/>
      <c r="Y90" s="746"/>
      <c r="Z90" s="746"/>
    </row>
    <row r="91" spans="1:27" s="226" customFormat="1" ht="68.25" customHeight="1">
      <c r="A91" s="831"/>
      <c r="B91" s="832"/>
      <c r="C91" s="839"/>
      <c r="D91" s="349"/>
      <c r="E91" s="231"/>
      <c r="F91" s="348"/>
      <c r="G91" s="322"/>
      <c r="H91" s="322">
        <f>'RTG&amp;HARBOUR FAULTS'!N69</f>
        <v>6.9444444444444441E-3</v>
      </c>
      <c r="I91" s="310"/>
      <c r="J91" s="311"/>
      <c r="K91" s="312"/>
      <c r="L91" s="313">
        <f t="shared" ref="L91" si="31">((1440-(J91))/1440)*100</f>
        <v>100</v>
      </c>
      <c r="M91" s="350">
        <f>'RTG&amp;HARBOUR FAULTS'!O73</f>
        <v>0</v>
      </c>
      <c r="N91" s="309">
        <f t="shared" ref="N91" si="32">((1440-J91)/(M91+1))*0.00069444444444444</f>
        <v>0.99999999999999367</v>
      </c>
      <c r="O91" s="314" t="e">
        <f t="shared" ref="O91" si="33">((1440-K91)/(M91))*0.00069444444444444</f>
        <v>#DIV/0!</v>
      </c>
      <c r="P91" s="755"/>
      <c r="Q91" s="756"/>
      <c r="R91" s="757"/>
      <c r="S91" s="781" t="str">
        <f>CONCATENATE("RTG2-29:  ",'RTG&amp;HARBOUR FAULTS'!B69,"_",'RTG&amp;HARBOUR FAULTS'!F69,"_",'RTG&amp;HARBOUR FAULTS'!J69)</f>
        <v>RTG2-29:  NIL_NIL_ECCENTRIC OVERLOAD</v>
      </c>
      <c r="T91" s="746"/>
      <c r="U91" s="746"/>
      <c r="V91" s="746"/>
      <c r="W91" s="746"/>
      <c r="X91" s="746"/>
      <c r="Y91" s="746"/>
      <c r="Z91" s="746"/>
    </row>
    <row r="92" spans="1:27" s="226" customFormat="1" ht="68.25" customHeight="1">
      <c r="A92" s="852"/>
      <c r="B92" s="853"/>
      <c r="C92" s="854"/>
      <c r="D92" s="351"/>
      <c r="E92" s="649"/>
      <c r="F92" s="650"/>
      <c r="G92" s="322"/>
      <c r="H92" s="322">
        <f>'RTG&amp;HARBOUR FAULTS'!N70</f>
        <v>1.0416666666666666E-2</v>
      </c>
      <c r="I92" s="310"/>
      <c r="J92" s="311"/>
      <c r="K92" s="312"/>
      <c r="L92" s="313">
        <f t="shared" si="28"/>
        <v>100</v>
      </c>
      <c r="M92" s="350">
        <f>'RTG&amp;HARBOUR FAULTS'!O73</f>
        <v>0</v>
      </c>
      <c r="N92" s="309">
        <f t="shared" si="29"/>
        <v>0.99999999999999367</v>
      </c>
      <c r="O92" s="314" t="e">
        <f t="shared" si="30"/>
        <v>#DIV/0!</v>
      </c>
      <c r="P92" s="758"/>
      <c r="Q92" s="759"/>
      <c r="R92" s="760"/>
      <c r="S92" s="781" t="str">
        <f>CONCATENATE("RTG2-30:  ",'RTG&amp;HARBOUR FAULTS'!B70,"_",'RTG&amp;HARBOUR FAULTS'!F70,"_",'RTG&amp;HARBOUR FAULTS'!J70)</f>
        <v>RTG2-30:  NIL_NIL_ECCENTRIC OVERLOAD</v>
      </c>
      <c r="T92" s="746"/>
      <c r="U92" s="746"/>
      <c r="V92" s="746"/>
      <c r="W92" s="746"/>
      <c r="X92" s="746"/>
      <c r="Y92" s="746"/>
      <c r="Z92" s="746"/>
    </row>
    <row r="93" spans="1:27" s="226" customFormat="1" ht="68.25" customHeight="1" thickBot="1">
      <c r="A93" s="847" t="s">
        <v>74</v>
      </c>
      <c r="B93" s="848"/>
      <c r="C93" s="848"/>
      <c r="D93" s="512">
        <v>4</v>
      </c>
      <c r="E93" s="588">
        <f>'RTG&amp;HARBOUR FAULTS'!K8</f>
        <v>2</v>
      </c>
      <c r="F93" s="512">
        <v>2</v>
      </c>
      <c r="G93" s="309">
        <f>SUM(G32:G83)</f>
        <v>942.29166666666674</v>
      </c>
      <c r="H93" s="855" t="s">
        <v>101</v>
      </c>
      <c r="I93" s="822"/>
      <c r="J93" s="822"/>
      <c r="K93" s="822"/>
      <c r="L93" s="822"/>
      <c r="M93" s="822"/>
      <c r="N93" s="822"/>
      <c r="O93" s="822"/>
      <c r="P93" s="369"/>
      <c r="Q93" s="369"/>
      <c r="R93" s="369"/>
      <c r="S93" s="826"/>
      <c r="T93" s="826"/>
      <c r="U93" s="826"/>
      <c r="V93" s="826"/>
      <c r="W93" s="826"/>
      <c r="X93" s="826"/>
      <c r="Y93" s="826"/>
      <c r="Z93" s="826"/>
    </row>
    <row r="94" spans="1:27" s="226" customFormat="1" ht="68.25" customHeight="1" thickBot="1">
      <c r="A94" s="869"/>
      <c r="B94" s="869"/>
      <c r="C94" s="869"/>
      <c r="D94" s="497" t="s">
        <v>121</v>
      </c>
      <c r="E94" s="856">
        <f>AA94</f>
        <v>2.9791666666666607</v>
      </c>
      <c r="F94" s="231"/>
      <c r="G94" s="309">
        <f t="shared" si="14"/>
        <v>1.25</v>
      </c>
      <c r="H94" s="309">
        <f>'RTG&amp;HARBOUR FAULTS'!N75</f>
        <v>2.0833333333333332E-2</v>
      </c>
      <c r="I94" s="493">
        <f>H94</f>
        <v>2.0833333333333332E-2</v>
      </c>
      <c r="J94" s="311">
        <f t="shared" si="15"/>
        <v>30.000000000000188</v>
      </c>
      <c r="K94" s="312">
        <f>(1-I94)/0.00069444444444444</f>
        <v>1410.0000000000089</v>
      </c>
      <c r="L94" s="313">
        <f>((1440-(J94))/1440)*100</f>
        <v>97.916666666666657</v>
      </c>
      <c r="M94" s="350">
        <f>'RTG&amp;HARBOUR FAULTS'!O75</f>
        <v>1</v>
      </c>
      <c r="N94" s="309">
        <f>((1440-J94)/(M94+1))*0.00069444444444444</f>
        <v>0.48958333333333015</v>
      </c>
      <c r="O94" s="309">
        <f>((1440-K94)/(M94))*0.00069444444444444</f>
        <v>2.0833333333327042E-2</v>
      </c>
      <c r="P94" s="227">
        <f>AVERAGE(L94,L95,L96,L97)</f>
        <v>74.479166666666515</v>
      </c>
      <c r="Q94" s="315">
        <f>AVERAGEIF(N94:N95,"&gt;0",N94:N95)</f>
        <v>0.48958333333333015</v>
      </c>
      <c r="R94" s="316">
        <f>AVERAGEIF(O94:O95,"&gt;0",O94:O95)</f>
        <v>2.0833333333327042E-2</v>
      </c>
      <c r="S94" s="779" t="str">
        <f>CONCATENATE("MHC201:  ",'RTG&amp;HARBOUR FAULTS'!B75,"_",'RTG&amp;HARBOUR FAULTS'!F75,"_",'RTG&amp;HARBOUR FAULTS'!J75)</f>
        <v>MHC201:  NIL_SWIVEL ROTATION FAULT_NIL</v>
      </c>
      <c r="T94" s="780"/>
      <c r="U94" s="780"/>
      <c r="V94" s="780"/>
      <c r="W94" s="780"/>
      <c r="X94" s="780"/>
      <c r="Y94" s="780"/>
      <c r="Z94" s="781"/>
      <c r="AA94" s="392">
        <f>(P94/100*4)</f>
        <v>2.9791666666666607</v>
      </c>
    </row>
    <row r="95" spans="1:27" s="226" customFormat="1" ht="68.25" customHeight="1" thickBot="1">
      <c r="A95" s="869"/>
      <c r="B95" s="869"/>
      <c r="C95" s="869"/>
      <c r="D95" s="231"/>
      <c r="E95" s="857"/>
      <c r="F95" s="231"/>
      <c r="G95" s="309">
        <f t="shared" si="14"/>
        <v>60</v>
      </c>
      <c r="H95" s="309">
        <f>'RTG&amp;HARBOUR FAULTS'!N76</f>
        <v>1</v>
      </c>
      <c r="I95" s="493">
        <f>H95</f>
        <v>1</v>
      </c>
      <c r="J95" s="311">
        <f t="shared" si="15"/>
        <v>1440.0000000000091</v>
      </c>
      <c r="K95" s="312">
        <f>(1-I95)/0.00069444444444444</f>
        <v>0</v>
      </c>
      <c r="L95" s="313">
        <f>((1440-(J95))/1440)*100</f>
        <v>-6.3159354289786681E-13</v>
      </c>
      <c r="M95" s="350">
        <f>'RTG&amp;HARBOUR FAULTS'!O76</f>
        <v>0</v>
      </c>
      <c r="N95" s="309">
        <f>((1440-J95)/(M95+1))*0.00069444444444444</f>
        <v>-6.3159354289786285E-15</v>
      </c>
      <c r="O95" s="309" t="e">
        <f>((1440-K95)/(M95))*0.00069444444444444</f>
        <v>#DIV/0!</v>
      </c>
      <c r="P95" s="228">
        <v>90</v>
      </c>
      <c r="Q95" s="229">
        <v>0.95000000000000007</v>
      </c>
      <c r="R95" s="229">
        <v>3.125E-2</v>
      </c>
      <c r="S95" s="779" t="str">
        <f>CONCATENATE("MHC202:  ",'RTG&amp;HARBOUR FAULTS'!B76,"_",'RTG&amp;HARBOUR FAULTS'!F76,"_",'RTG&amp;HARBOUR FAULTS'!J76)</f>
        <v>MHC202:  ACCIDENT.OUT_OUT_OUT</v>
      </c>
      <c r="T95" s="780"/>
      <c r="U95" s="780"/>
      <c r="V95" s="780"/>
      <c r="W95" s="780"/>
      <c r="X95" s="780"/>
      <c r="Y95" s="780"/>
      <c r="Z95" s="781"/>
    </row>
    <row r="96" spans="1:27" s="226" customFormat="1" ht="68.25" customHeight="1">
      <c r="A96" s="869"/>
      <c r="B96" s="869"/>
      <c r="C96" s="869"/>
      <c r="D96" s="764"/>
      <c r="E96" s="765"/>
      <c r="F96" s="766"/>
      <c r="G96" s="309">
        <f t="shared" si="14"/>
        <v>0</v>
      </c>
      <c r="H96" s="309">
        <f>'RTG&amp;HARBOUR FAULTS'!N77</f>
        <v>0</v>
      </c>
      <c r="I96" s="493">
        <f>H96</f>
        <v>0</v>
      </c>
      <c r="J96" s="311">
        <f t="shared" si="15"/>
        <v>0</v>
      </c>
      <c r="K96" s="312">
        <f>(1-I96)/0.00069444444444444</f>
        <v>1440.0000000000091</v>
      </c>
      <c r="L96" s="313">
        <f>((1440-(J96))/1440)*100</f>
        <v>100</v>
      </c>
      <c r="M96" s="350">
        <f>'RTG&amp;HARBOUR FAULTS'!O79</f>
        <v>0</v>
      </c>
      <c r="N96" s="309">
        <f>((1440-J96)/(M96+1))*0.00069444444444444</f>
        <v>0.99999999999999367</v>
      </c>
      <c r="O96" s="309"/>
      <c r="P96" s="868"/>
      <c r="Q96" s="868"/>
      <c r="R96" s="868"/>
      <c r="S96" s="779" t="str">
        <f>CONCATENATE("MHC203:  ",'RTG&amp;HARBOUR FAULTS'!B77,"_",'RTG&amp;HARBOUR FAULTS'!F77,"_",'RTG&amp;HARBOUR FAULTS'!J77)</f>
        <v>MHC203:  REFUBISHMENT-OUT_OUT_OUT</v>
      </c>
      <c r="T96" s="780"/>
      <c r="U96" s="780"/>
      <c r="V96" s="780"/>
      <c r="W96" s="780"/>
      <c r="X96" s="780"/>
      <c r="Y96" s="780"/>
      <c r="Z96" s="781"/>
    </row>
    <row r="97" spans="1:27" s="226" customFormat="1" ht="68.25" customHeight="1">
      <c r="A97" s="869"/>
      <c r="B97" s="869"/>
      <c r="C97" s="869"/>
      <c r="D97" s="767"/>
      <c r="E97" s="768"/>
      <c r="F97" s="769"/>
      <c r="G97" s="309">
        <f t="shared" ref="G97:G159" si="34">CONVERT(H97,"hr","min")</f>
        <v>0</v>
      </c>
      <c r="H97" s="309">
        <f>'RTG&amp;HARBOUR FAULTS'!N78</f>
        <v>0</v>
      </c>
      <c r="I97" s="493">
        <f>H97</f>
        <v>0</v>
      </c>
      <c r="J97" s="311">
        <f t="shared" si="15"/>
        <v>0</v>
      </c>
      <c r="K97" s="312">
        <f>(1-I97)/0.00069444444444444</f>
        <v>1440.0000000000091</v>
      </c>
      <c r="L97" s="313">
        <f>((1440-(J97))/1440)*100</f>
        <v>100</v>
      </c>
      <c r="M97" s="350">
        <f>'RTG&amp;HARBOUR FAULTS'!O78</f>
        <v>0</v>
      </c>
      <c r="N97" s="309">
        <f>((1440-J97)/(M97+1))*0.00069444444444444</f>
        <v>0.99999999999999367</v>
      </c>
      <c r="O97" s="309"/>
      <c r="P97" s="868"/>
      <c r="Q97" s="868"/>
      <c r="R97" s="868"/>
      <c r="S97" s="779" t="str">
        <f>CONCATENATE("MHC204:  ",'RTG&amp;HARBOUR FAULTS'!B78,"_",'RTG&amp;HARBOUR FAULTS'!F78,"_",'RTG&amp;HARBOUR FAULTS'!J78)</f>
        <v>MHC204:  NIL_NIL_NIL</v>
      </c>
      <c r="T97" s="780"/>
      <c r="U97" s="780"/>
      <c r="V97" s="780"/>
      <c r="W97" s="780"/>
      <c r="X97" s="780"/>
      <c r="Y97" s="780"/>
      <c r="Z97" s="781"/>
    </row>
    <row r="98" spans="1:27" s="226" customFormat="1" ht="68.25" customHeight="1">
      <c r="A98" s="847" t="s">
        <v>124</v>
      </c>
      <c r="B98" s="848"/>
      <c r="C98" s="848"/>
      <c r="D98" s="290">
        <v>19</v>
      </c>
      <c r="E98" s="586">
        <f>'CONTAINER HANDLERS FAULTS'!K6</f>
        <v>10</v>
      </c>
      <c r="F98" s="290">
        <v>16</v>
      </c>
      <c r="G98" s="309">
        <f>SUM(G94:G97)</f>
        <v>61.25</v>
      </c>
      <c r="H98" s="303" t="s">
        <v>20</v>
      </c>
      <c r="I98" s="304"/>
      <c r="J98" s="304"/>
      <c r="K98" s="305"/>
      <c r="L98" s="361"/>
      <c r="M98" s="361"/>
      <c r="N98" s="361"/>
      <c r="O98" s="361"/>
      <c r="P98" s="321"/>
      <c r="Q98" s="321"/>
      <c r="R98" s="321"/>
      <c r="S98" s="826"/>
      <c r="T98" s="826"/>
      <c r="U98" s="826"/>
      <c r="V98" s="826"/>
      <c r="W98" s="826"/>
      <c r="X98" s="826"/>
      <c r="Y98" s="826"/>
      <c r="Z98" s="826"/>
    </row>
    <row r="99" spans="1:27" s="226" customFormat="1" ht="68.25" customHeight="1" thickBot="1">
      <c r="A99" s="867"/>
      <c r="B99" s="867"/>
      <c r="C99" s="867"/>
      <c r="D99" s="251"/>
      <c r="E99" s="590"/>
      <c r="F99" s="348"/>
      <c r="G99" s="309">
        <f t="shared" si="34"/>
        <v>60</v>
      </c>
      <c r="H99" s="309">
        <f>'CONTAINER HANDLERS FAULTS'!O10</f>
        <v>1</v>
      </c>
      <c r="I99" s="310">
        <f t="shared" ref="I99:I117" si="35">H99</f>
        <v>1</v>
      </c>
      <c r="J99" s="311">
        <f t="shared" ref="J99:J117" si="36">I99/0.00069444444444444</f>
        <v>1440.0000000000091</v>
      </c>
      <c r="K99" s="312">
        <f t="shared" ref="K99:K117" si="37">(1-I99)/0.00069444444444444</f>
        <v>0</v>
      </c>
      <c r="L99" s="327">
        <f t="shared" ref="L99:L117" si="38">((1440-(J99))/1440)*100</f>
        <v>-6.3159354289786681E-13</v>
      </c>
      <c r="M99" s="350">
        <f>'CONTAINER HANDLERS FAULTS'!P10</f>
        <v>0</v>
      </c>
      <c r="N99" s="309">
        <f t="shared" ref="N99:N117" si="39">((1440-J99)/(M99+1))*0.00069444444444444</f>
        <v>-6.3159354289786285E-15</v>
      </c>
      <c r="O99" s="309" t="e">
        <f t="shared" ref="O99:O117" si="40">((1440-K99)/(M99))*0.00069444444444444</f>
        <v>#DIV/0!</v>
      </c>
      <c r="P99" s="227">
        <f>AVERAGE(L99:L117)</f>
        <v>49.214181286549376</v>
      </c>
      <c r="Q99" s="315">
        <f>AVERAGEIF(N99:N117,"&gt;0",N99:N117)</f>
        <v>0.86035879629629064</v>
      </c>
      <c r="R99" s="316">
        <f>AVERAGEIF(O99:O117,"&gt;0",O99:O117)</f>
        <v>0.18229166666666191</v>
      </c>
      <c r="S99" s="779" t="str">
        <f>CONCATENATE("HK39: ",'CONTAINER HANDLERS FAULTS'!B10,"_",'CONTAINER HANDLERS FAULTS'!G10,"_",'CONTAINER HANDLERS FAULTS'!K10)</f>
        <v>HK39: RADIATOR LEAKAGES -OUT_OUT_OUT</v>
      </c>
      <c r="T99" s="780"/>
      <c r="U99" s="780"/>
      <c r="V99" s="780"/>
      <c r="W99" s="780"/>
      <c r="X99" s="780"/>
      <c r="Y99" s="780"/>
      <c r="Z99" s="781"/>
      <c r="AA99" s="226">
        <f>P99/100*19</f>
        <v>9.3506944444443807</v>
      </c>
    </row>
    <row r="100" spans="1:27" s="226" customFormat="1" ht="68.25" customHeight="1">
      <c r="A100" s="867"/>
      <c r="B100" s="867"/>
      <c r="C100" s="867"/>
      <c r="D100" s="145" t="s">
        <v>118</v>
      </c>
      <c r="E100" s="870">
        <f>AA99</f>
        <v>9.3506944444443807</v>
      </c>
      <c r="F100" s="348"/>
      <c r="G100" s="309">
        <f t="shared" si="34"/>
        <v>4.791666666666667</v>
      </c>
      <c r="H100" s="309">
        <f>'CONTAINER HANDLERS FAULTS'!O11</f>
        <v>7.9861111111111105E-2</v>
      </c>
      <c r="I100" s="310">
        <f t="shared" si="35"/>
        <v>7.9861111111111105E-2</v>
      </c>
      <c r="J100" s="311">
        <f t="shared" si="36"/>
        <v>115.00000000000072</v>
      </c>
      <c r="K100" s="312">
        <f t="shared" si="37"/>
        <v>1325.0000000000084</v>
      </c>
      <c r="L100" s="327">
        <f t="shared" si="38"/>
        <v>92.013888888888843</v>
      </c>
      <c r="M100" s="350">
        <f>'CONTAINER HANDLERS FAULTS'!P11</f>
        <v>1</v>
      </c>
      <c r="N100" s="309">
        <f t="shared" si="39"/>
        <v>0.46006944444444126</v>
      </c>
      <c r="O100" s="309">
        <f t="shared" si="40"/>
        <v>7.9861111111104763E-2</v>
      </c>
      <c r="P100" s="228">
        <v>90</v>
      </c>
      <c r="Q100" s="229">
        <v>0.85</v>
      </c>
      <c r="R100" s="229">
        <v>3.125E-2</v>
      </c>
      <c r="S100" s="779" t="str">
        <f>CONCATENATE("HK40: ",'CONTAINER HANDLERS FAULTS'!B11,"_",'CONTAINER HANDLERS FAULTS'!G11,"_",'CONTAINER HANDLERS FAULTS'!K11)</f>
        <v>HK40: HYD OIL LEAKAGE_NIL_NIL</v>
      </c>
      <c r="T100" s="780"/>
      <c r="U100" s="780"/>
      <c r="V100" s="780"/>
      <c r="W100" s="780"/>
      <c r="X100" s="780"/>
      <c r="Y100" s="780"/>
      <c r="Z100" s="781"/>
    </row>
    <row r="101" spans="1:27" s="226" customFormat="1" ht="68.25" customHeight="1" thickBot="1">
      <c r="A101" s="867"/>
      <c r="B101" s="867"/>
      <c r="C101" s="867"/>
      <c r="D101" s="251"/>
      <c r="E101" s="871"/>
      <c r="F101" s="348"/>
      <c r="G101" s="309">
        <f t="shared" si="34"/>
        <v>60</v>
      </c>
      <c r="H101" s="309">
        <f>'CONTAINER HANDLERS FAULTS'!O12</f>
        <v>1</v>
      </c>
      <c r="I101" s="310">
        <f t="shared" si="35"/>
        <v>1</v>
      </c>
      <c r="J101" s="311">
        <f t="shared" si="36"/>
        <v>1440.0000000000091</v>
      </c>
      <c r="K101" s="312">
        <f t="shared" si="37"/>
        <v>0</v>
      </c>
      <c r="L101" s="327">
        <f t="shared" si="38"/>
        <v>-6.3159354289786681E-13</v>
      </c>
      <c r="M101" s="350">
        <f>'CONTAINER HANDLERS FAULTS'!P12</f>
        <v>0</v>
      </c>
      <c r="N101" s="309">
        <f t="shared" si="39"/>
        <v>-6.3159354289786285E-15</v>
      </c>
      <c r="O101" s="309" t="e">
        <f t="shared" si="40"/>
        <v>#DIV/0!</v>
      </c>
      <c r="P101" s="593"/>
      <c r="Q101" s="594"/>
      <c r="R101" s="595"/>
      <c r="S101" s="779" t="str">
        <f>CONCATENATE("HK41: ",'CONTAINER HANDLERS FAULTS'!B12,"_",'CONTAINER HANDLERS FAULTS'!G12,"_",'CONTAINER HANDLERS FAULTS'!K12)</f>
        <v>HK41: COMMUNICATION - OUT_OUT_OUT</v>
      </c>
      <c r="T101" s="780"/>
      <c r="U101" s="780"/>
      <c r="V101" s="780"/>
      <c r="W101" s="780"/>
      <c r="X101" s="780"/>
      <c r="Y101" s="780"/>
      <c r="Z101" s="781"/>
    </row>
    <row r="102" spans="1:27" s="226" customFormat="1" ht="68.25" customHeight="1">
      <c r="A102" s="867"/>
      <c r="B102" s="867"/>
      <c r="C102" s="867"/>
      <c r="D102" s="349"/>
      <c r="E102" s="231"/>
      <c r="F102" s="348"/>
      <c r="G102" s="309">
        <f t="shared" si="34"/>
        <v>0</v>
      </c>
      <c r="H102" s="309">
        <f>'CONTAINER HANDLERS FAULTS'!O13</f>
        <v>0</v>
      </c>
      <c r="I102" s="310">
        <f t="shared" si="35"/>
        <v>0</v>
      </c>
      <c r="J102" s="311">
        <f t="shared" si="36"/>
        <v>0</v>
      </c>
      <c r="K102" s="312">
        <f t="shared" si="37"/>
        <v>1440.0000000000091</v>
      </c>
      <c r="L102" s="327">
        <f t="shared" si="38"/>
        <v>100</v>
      </c>
      <c r="M102" s="350">
        <f>'CONTAINER HANDLERS FAULTS'!P13</f>
        <v>0</v>
      </c>
      <c r="N102" s="309">
        <f t="shared" si="39"/>
        <v>0.99999999999999367</v>
      </c>
      <c r="O102" s="309" t="e">
        <f t="shared" si="40"/>
        <v>#DIV/0!</v>
      </c>
      <c r="P102" s="593"/>
      <c r="Q102" s="594"/>
      <c r="R102" s="595"/>
      <c r="S102" s="779" t="str">
        <f>CONCATENATE("HK42: ",'CONTAINER HANDLERS FAULTS'!B13,"_",'CONTAINER HANDLERS FAULTS'!G13,"_",'CONTAINER HANDLERS FAULTS'!K13)</f>
        <v>HK42: NIL_NIL_NIL</v>
      </c>
      <c r="T102" s="780"/>
      <c r="U102" s="780"/>
      <c r="V102" s="780"/>
      <c r="W102" s="780"/>
      <c r="X102" s="780"/>
      <c r="Y102" s="780"/>
      <c r="Z102" s="781"/>
    </row>
    <row r="103" spans="1:27" s="226" customFormat="1" ht="68.25" customHeight="1">
      <c r="A103" s="867"/>
      <c r="B103" s="867"/>
      <c r="C103" s="867"/>
      <c r="D103" s="349"/>
      <c r="E103" s="231"/>
      <c r="F103" s="348"/>
      <c r="G103" s="309">
        <f t="shared" si="34"/>
        <v>0</v>
      </c>
      <c r="H103" s="309">
        <f>'CONTAINER HANDLERS FAULTS'!O14</f>
        <v>0</v>
      </c>
      <c r="I103" s="310">
        <f t="shared" si="35"/>
        <v>0</v>
      </c>
      <c r="J103" s="311">
        <f t="shared" si="36"/>
        <v>0</v>
      </c>
      <c r="K103" s="312">
        <f>(1-I103)/0.00069444444444444</f>
        <v>1440.0000000000091</v>
      </c>
      <c r="L103" s="327">
        <f t="shared" si="38"/>
        <v>100</v>
      </c>
      <c r="M103" s="350">
        <f>'CONTAINER HANDLERS FAULTS'!P14</f>
        <v>0</v>
      </c>
      <c r="N103" s="309">
        <f t="shared" si="39"/>
        <v>0.99999999999999367</v>
      </c>
      <c r="O103" s="309" t="e">
        <f t="shared" si="40"/>
        <v>#DIV/0!</v>
      </c>
      <c r="P103" s="593"/>
      <c r="Q103" s="594"/>
      <c r="R103" s="595"/>
      <c r="S103" s="779" t="str">
        <f>CONCATENATE("HK43: ",'CONTAINER HANDLERS FAULTS'!B14,"_",'CONTAINER HANDLERS FAULTS'!G14,"_",'CONTAINER HANDLERS FAULTS'!K14)</f>
        <v>HK43: NIL_NIL_NIL</v>
      </c>
      <c r="T103" s="780"/>
      <c r="U103" s="780"/>
      <c r="V103" s="780"/>
      <c r="W103" s="780"/>
      <c r="X103" s="780"/>
      <c r="Y103" s="780"/>
      <c r="Z103" s="781"/>
    </row>
    <row r="104" spans="1:27" s="226" customFormat="1" ht="68.25" customHeight="1">
      <c r="A104" s="867"/>
      <c r="B104" s="867"/>
      <c r="C104" s="867"/>
      <c r="D104" s="349"/>
      <c r="E104" s="231"/>
      <c r="F104" s="348"/>
      <c r="G104" s="309">
        <f t="shared" si="34"/>
        <v>60</v>
      </c>
      <c r="H104" s="309">
        <f>'CONTAINER HANDLERS FAULTS'!O15</f>
        <v>1</v>
      </c>
      <c r="I104" s="310">
        <f t="shared" si="35"/>
        <v>1</v>
      </c>
      <c r="J104" s="311">
        <f>I104/0.00069444444444444</f>
        <v>1440.0000000000091</v>
      </c>
      <c r="K104" s="312">
        <f t="shared" si="37"/>
        <v>0</v>
      </c>
      <c r="L104" s="327">
        <f t="shared" si="38"/>
        <v>-6.3159354289786681E-13</v>
      </c>
      <c r="M104" s="350">
        <f>'CONTAINER HANDLERS FAULTS'!P15</f>
        <v>0</v>
      </c>
      <c r="N104" s="309">
        <f t="shared" si="39"/>
        <v>-6.3159354289786285E-15</v>
      </c>
      <c r="O104" s="309" t="e">
        <f t="shared" si="40"/>
        <v>#DIV/0!</v>
      </c>
      <c r="P104" s="593"/>
      <c r="Q104" s="594"/>
      <c r="R104" s="595"/>
      <c r="S104" s="779" t="str">
        <f>CONCATENATE("HK44: ",'CONTAINER HANDLERS FAULTS'!B15,"_",'CONTAINER HANDLERS FAULTS'!G15,"_",'CONTAINER HANDLERS FAULTS'!K15)</f>
        <v>HK44: ENGINE OVERHEATING-OUT_OUT_OUT</v>
      </c>
      <c r="T104" s="780"/>
      <c r="U104" s="780"/>
      <c r="V104" s="780"/>
      <c r="W104" s="780"/>
      <c r="X104" s="780"/>
      <c r="Y104" s="780"/>
      <c r="Z104" s="781"/>
    </row>
    <row r="105" spans="1:27" s="226" customFormat="1" ht="68.25" customHeight="1">
      <c r="A105" s="867"/>
      <c r="B105" s="867"/>
      <c r="C105" s="867"/>
      <c r="D105" s="349"/>
      <c r="E105" s="231"/>
      <c r="F105" s="348"/>
      <c r="G105" s="309">
        <f t="shared" si="34"/>
        <v>60</v>
      </c>
      <c r="H105" s="309">
        <f>'CONTAINER HANDLERS FAULTS'!O16</f>
        <v>1</v>
      </c>
      <c r="I105" s="310">
        <f t="shared" si="35"/>
        <v>1</v>
      </c>
      <c r="J105" s="311">
        <f t="shared" si="36"/>
        <v>1440.0000000000091</v>
      </c>
      <c r="K105" s="312">
        <f t="shared" si="37"/>
        <v>0</v>
      </c>
      <c r="L105" s="327">
        <f t="shared" si="38"/>
        <v>-6.3159354289786681E-13</v>
      </c>
      <c r="M105" s="350">
        <f>'CONTAINER HANDLERS FAULTS'!P16</f>
        <v>0</v>
      </c>
      <c r="N105" s="309">
        <f t="shared" si="39"/>
        <v>-6.3159354289786285E-15</v>
      </c>
      <c r="O105" s="309" t="e">
        <f t="shared" si="40"/>
        <v>#DIV/0!</v>
      </c>
      <c r="P105" s="593"/>
      <c r="Q105" s="594"/>
      <c r="R105" s="595"/>
      <c r="S105" s="779" t="str">
        <f>CONCATENATE("HK45: ",'CONTAINER HANDLERS FAULTS'!B16,"_",'CONTAINER HANDLERS FAULTS'!G16,"_",'CONTAINER HANDLERS FAULTS'!K16)</f>
        <v>HK45: STEERING CYLINDER PIN OFF-OUT_OUT_OUT</v>
      </c>
      <c r="T105" s="780"/>
      <c r="U105" s="780"/>
      <c r="V105" s="780"/>
      <c r="W105" s="780"/>
      <c r="X105" s="780"/>
      <c r="Y105" s="780"/>
      <c r="Z105" s="781"/>
    </row>
    <row r="106" spans="1:27" s="226" customFormat="1" ht="68.25" customHeight="1">
      <c r="A106" s="867"/>
      <c r="B106" s="867"/>
      <c r="C106" s="867"/>
      <c r="D106" s="349"/>
      <c r="E106" s="231"/>
      <c r="F106" s="348"/>
      <c r="G106" s="309">
        <f t="shared" si="34"/>
        <v>60</v>
      </c>
      <c r="H106" s="309">
        <f>'CONTAINER HANDLERS FAULTS'!O17</f>
        <v>1</v>
      </c>
      <c r="I106" s="310">
        <f t="shared" si="35"/>
        <v>1</v>
      </c>
      <c r="J106" s="311">
        <f t="shared" si="36"/>
        <v>1440.0000000000091</v>
      </c>
      <c r="K106" s="312">
        <f>(1-I106)/0.00069444444444444</f>
        <v>0</v>
      </c>
      <c r="L106" s="327">
        <f t="shared" si="38"/>
        <v>-6.3159354289786681E-13</v>
      </c>
      <c r="M106" s="350">
        <f>'CONTAINER HANDLERS FAULTS'!P17</f>
        <v>0</v>
      </c>
      <c r="N106" s="309">
        <f t="shared" si="39"/>
        <v>-6.3159354289786285E-15</v>
      </c>
      <c r="O106" s="309" t="e">
        <f t="shared" si="40"/>
        <v>#DIV/0!</v>
      </c>
      <c r="P106" s="593"/>
      <c r="Q106" s="594"/>
      <c r="R106" s="595"/>
      <c r="S106" s="779" t="str">
        <f>CONCATENATE("HK46: ",'CONTAINER HANDLERS FAULTS'!B17,"_",'CONTAINER HANDLERS FAULTS'!G17,"_",'CONTAINER HANDLERS FAULTS'!K17)</f>
        <v>HK46: TRANSMISSION FAULT.OUT_OUT_OUT</v>
      </c>
      <c r="T106" s="780"/>
      <c r="U106" s="780"/>
      <c r="V106" s="780"/>
      <c r="W106" s="780"/>
      <c r="X106" s="780"/>
      <c r="Y106" s="780"/>
      <c r="Z106" s="781"/>
    </row>
    <row r="107" spans="1:27" s="226" customFormat="1" ht="68.25" customHeight="1">
      <c r="A107" s="867"/>
      <c r="B107" s="867"/>
      <c r="C107" s="867"/>
      <c r="D107" s="349"/>
      <c r="E107" s="231"/>
      <c r="F107" s="348"/>
      <c r="G107" s="309">
        <f t="shared" si="34"/>
        <v>0</v>
      </c>
      <c r="H107" s="309">
        <f>'CONTAINER HANDLERS FAULTS'!O18</f>
        <v>0</v>
      </c>
      <c r="I107" s="310">
        <f t="shared" si="35"/>
        <v>0</v>
      </c>
      <c r="J107" s="311">
        <f t="shared" si="36"/>
        <v>0</v>
      </c>
      <c r="K107" s="312">
        <f t="shared" si="37"/>
        <v>1440.0000000000091</v>
      </c>
      <c r="L107" s="327">
        <f t="shared" si="38"/>
        <v>100</v>
      </c>
      <c r="M107" s="350">
        <f>'CONTAINER HANDLERS FAULTS'!P18</f>
        <v>0</v>
      </c>
      <c r="N107" s="309">
        <f t="shared" si="39"/>
        <v>0.99999999999999367</v>
      </c>
      <c r="O107" s="309" t="e">
        <f t="shared" si="40"/>
        <v>#DIV/0!</v>
      </c>
      <c r="P107" s="593"/>
      <c r="Q107" s="594"/>
      <c r="R107" s="595"/>
      <c r="S107" s="779" t="str">
        <f>CONCATENATE("HK48: ",'CONTAINER HANDLERS FAULTS'!B18,"_",'CONTAINER HANDLERS FAULTS'!G18,"_",'CONTAINER HANDLERS FAULTS'!K18)</f>
        <v>HK48: NIL_NIL_NIL</v>
      </c>
      <c r="T107" s="780"/>
      <c r="U107" s="780"/>
      <c r="V107" s="780"/>
      <c r="W107" s="780"/>
      <c r="X107" s="780"/>
      <c r="Y107" s="780"/>
      <c r="Z107" s="781"/>
    </row>
    <row r="108" spans="1:27" s="226" customFormat="1" ht="68.25" customHeight="1">
      <c r="A108" s="867"/>
      <c r="B108" s="867"/>
      <c r="C108" s="867"/>
      <c r="D108" s="349"/>
      <c r="E108" s="231"/>
      <c r="F108" s="348"/>
      <c r="G108" s="309">
        <f t="shared" si="34"/>
        <v>60</v>
      </c>
      <c r="H108" s="309">
        <f>'CONTAINER HANDLERS FAULTS'!O19</f>
        <v>1</v>
      </c>
      <c r="I108" s="310">
        <f t="shared" si="35"/>
        <v>1</v>
      </c>
      <c r="J108" s="311">
        <f t="shared" si="36"/>
        <v>1440.0000000000091</v>
      </c>
      <c r="K108" s="312">
        <f t="shared" si="37"/>
        <v>0</v>
      </c>
      <c r="L108" s="327">
        <f t="shared" si="38"/>
        <v>-6.3159354289786681E-13</v>
      </c>
      <c r="M108" s="350">
        <f>'CONTAINER HANDLERS FAULTS'!P19</f>
        <v>0</v>
      </c>
      <c r="N108" s="309">
        <f t="shared" si="39"/>
        <v>-6.3159354289786285E-15</v>
      </c>
      <c r="O108" s="309" t="e">
        <f t="shared" si="40"/>
        <v>#DIV/0!</v>
      </c>
      <c r="P108" s="593"/>
      <c r="Q108" s="594"/>
      <c r="R108" s="595"/>
      <c r="S108" s="779" t="str">
        <f>CONCATENATE("HK49: ",'CONTAINER HANDLERS FAULTS'!B19,"_",'CONTAINER HANDLERS FAULTS'!G19,"_",'CONTAINER HANDLERS FAULTS'!K19)</f>
        <v>HK49: GEAR FAULT-OUT_OUT_OUT</v>
      </c>
      <c r="T108" s="780"/>
      <c r="U108" s="780"/>
      <c r="V108" s="780"/>
      <c r="W108" s="780"/>
      <c r="X108" s="780"/>
      <c r="Y108" s="780"/>
      <c r="Z108" s="781"/>
    </row>
    <row r="109" spans="1:27" s="226" customFormat="1" ht="68.25" customHeight="1">
      <c r="A109" s="867"/>
      <c r="B109" s="867"/>
      <c r="C109" s="867"/>
      <c r="D109" s="349"/>
      <c r="E109" s="231"/>
      <c r="F109" s="348"/>
      <c r="G109" s="309">
        <f t="shared" si="34"/>
        <v>0</v>
      </c>
      <c r="H109" s="309">
        <f>'CONTAINER HANDLERS FAULTS'!O20</f>
        <v>0</v>
      </c>
      <c r="I109" s="310">
        <f t="shared" si="35"/>
        <v>0</v>
      </c>
      <c r="J109" s="311">
        <f t="shared" si="36"/>
        <v>0</v>
      </c>
      <c r="K109" s="312">
        <f t="shared" si="37"/>
        <v>1440.0000000000091</v>
      </c>
      <c r="L109" s="327">
        <f t="shared" si="38"/>
        <v>100</v>
      </c>
      <c r="M109" s="350">
        <f>'CONTAINER HANDLERS FAULTS'!P20</f>
        <v>0</v>
      </c>
      <c r="N109" s="309">
        <f t="shared" si="39"/>
        <v>0.99999999999999367</v>
      </c>
      <c r="O109" s="309" t="e">
        <f t="shared" si="40"/>
        <v>#DIV/0!</v>
      </c>
      <c r="P109" s="593"/>
      <c r="Q109" s="594"/>
      <c r="R109" s="595"/>
      <c r="S109" s="779" t="str">
        <f>CONCATENATE("HK50: ",'CONTAINER HANDLERS FAULTS'!B20,"_",'CONTAINER HANDLERS FAULTS'!G20,"_",'CONTAINER HANDLERS FAULTS'!K20)</f>
        <v>HK50: NIL_NIL_NIL</v>
      </c>
      <c r="T109" s="780"/>
      <c r="U109" s="780"/>
      <c r="V109" s="780"/>
      <c r="W109" s="780"/>
      <c r="X109" s="780"/>
      <c r="Y109" s="780"/>
      <c r="Z109" s="781"/>
    </row>
    <row r="110" spans="1:27" s="226" customFormat="1" ht="68.25" customHeight="1">
      <c r="A110" s="867"/>
      <c r="B110" s="867"/>
      <c r="C110" s="867"/>
      <c r="D110" s="349"/>
      <c r="E110" s="231"/>
      <c r="F110" s="348"/>
      <c r="G110" s="309">
        <f t="shared" si="34"/>
        <v>0</v>
      </c>
      <c r="H110" s="309">
        <f>'CONTAINER HANDLERS FAULTS'!O21</f>
        <v>0</v>
      </c>
      <c r="I110" s="310">
        <f t="shared" si="35"/>
        <v>0</v>
      </c>
      <c r="J110" s="311">
        <f>I110/0.00069444444444444</f>
        <v>0</v>
      </c>
      <c r="K110" s="312">
        <f t="shared" si="37"/>
        <v>1440.0000000000091</v>
      </c>
      <c r="L110" s="327">
        <f t="shared" si="38"/>
        <v>100</v>
      </c>
      <c r="M110" s="350">
        <f>'CONTAINER HANDLERS FAULTS'!P21</f>
        <v>0</v>
      </c>
      <c r="N110" s="309">
        <f t="shared" si="39"/>
        <v>0.99999999999999367</v>
      </c>
      <c r="O110" s="309" t="e">
        <f>((1440-K110)/(M110))*0.00069444444444444</f>
        <v>#DIV/0!</v>
      </c>
      <c r="P110" s="593"/>
      <c r="Q110" s="594"/>
      <c r="R110" s="595"/>
      <c r="S110" s="779" t="str">
        <f>CONCATENATE("HK52: ",'CONTAINER HANDLERS FAULTS'!B21,"_",'CONTAINER HANDLERS FAULTS'!G21,"_",'CONTAINER HANDLERS FAULTS'!K21)</f>
        <v>HK52: NIL_NIL_NIL</v>
      </c>
      <c r="T110" s="780"/>
      <c r="U110" s="780"/>
      <c r="V110" s="780"/>
      <c r="W110" s="780"/>
      <c r="X110" s="780"/>
      <c r="Y110" s="780"/>
      <c r="Z110" s="781"/>
    </row>
    <row r="111" spans="1:27" s="226" customFormat="1" ht="68.25" customHeight="1">
      <c r="A111" s="867"/>
      <c r="B111" s="867"/>
      <c r="C111" s="867"/>
      <c r="D111" s="349"/>
      <c r="E111" s="231"/>
      <c r="F111" s="348"/>
      <c r="G111" s="309">
        <f t="shared" si="34"/>
        <v>0</v>
      </c>
      <c r="H111" s="309">
        <f>'CONTAINER HANDLERS FAULTS'!O22</f>
        <v>0</v>
      </c>
      <c r="I111" s="310">
        <f t="shared" si="35"/>
        <v>0</v>
      </c>
      <c r="J111" s="311">
        <f t="shared" si="36"/>
        <v>0</v>
      </c>
      <c r="K111" s="312">
        <f t="shared" si="37"/>
        <v>1440.0000000000091</v>
      </c>
      <c r="L111" s="327">
        <f t="shared" si="38"/>
        <v>100</v>
      </c>
      <c r="M111" s="350">
        <f>'CONTAINER HANDLERS FAULTS'!P22</f>
        <v>0</v>
      </c>
      <c r="N111" s="309">
        <f t="shared" si="39"/>
        <v>0.99999999999999367</v>
      </c>
      <c r="O111" s="309" t="e">
        <f t="shared" si="40"/>
        <v>#DIV/0!</v>
      </c>
      <c r="P111" s="593"/>
      <c r="Q111" s="594"/>
      <c r="R111" s="595"/>
      <c r="S111" s="779" t="str">
        <f>CONCATENATE("HK53: ",'CONTAINER HANDLERS FAULTS'!B22,"_",'CONTAINER HANDLERS FAULTS'!G22,"_",'CONTAINER HANDLERS FAULTS'!K22)</f>
        <v>HK53: NIL_NIL_NIL</v>
      </c>
      <c r="T111" s="780"/>
      <c r="U111" s="780"/>
      <c r="V111" s="780"/>
      <c r="W111" s="780"/>
      <c r="X111" s="780"/>
      <c r="Y111" s="780"/>
      <c r="Z111" s="781"/>
    </row>
    <row r="112" spans="1:27" s="226" customFormat="1" ht="68.25" customHeight="1">
      <c r="A112" s="867"/>
      <c r="B112" s="867"/>
      <c r="C112" s="867"/>
      <c r="D112" s="349"/>
      <c r="E112" s="231"/>
      <c r="F112" s="348"/>
      <c r="G112" s="309">
        <f t="shared" si="34"/>
        <v>34.166666666666664</v>
      </c>
      <c r="H112" s="309">
        <f>'CONTAINER HANDLERS FAULTS'!O23</f>
        <v>0.56944444444444442</v>
      </c>
      <c r="I112" s="310">
        <f t="shared" si="35"/>
        <v>0.56944444444444442</v>
      </c>
      <c r="J112" s="311">
        <f t="shared" si="36"/>
        <v>820.00000000000523</v>
      </c>
      <c r="K112" s="312">
        <f t="shared" si="37"/>
        <v>620.00000000000398</v>
      </c>
      <c r="L112" s="327">
        <f t="shared" si="38"/>
        <v>43.055555555555195</v>
      </c>
      <c r="M112" s="350">
        <f>'CONTAINER HANDLERS FAULTS'!P23</f>
        <v>2</v>
      </c>
      <c r="N112" s="309">
        <f t="shared" si="39"/>
        <v>0.14351851851851641</v>
      </c>
      <c r="O112" s="309">
        <f t="shared" si="40"/>
        <v>0.28472222222221905</v>
      </c>
      <c r="P112" s="593"/>
      <c r="Q112" s="594"/>
      <c r="R112" s="595"/>
      <c r="S112" s="779" t="str">
        <f>CONCATENATE("HK54: ",'CONTAINER HANDLERS FAULTS'!B23,"_",'CONTAINER HANDLERS FAULTS'!G23,"_",'CONTAINER HANDLERS FAULTS'!K23)</f>
        <v>HK54: STARTING-READY AT 1230HRS_STARTING_STEERING PROBLEM-OUT@ 2350HRS</v>
      </c>
      <c r="T112" s="780"/>
      <c r="U112" s="780"/>
      <c r="V112" s="780"/>
      <c r="W112" s="780"/>
      <c r="X112" s="780"/>
      <c r="Y112" s="780"/>
      <c r="Z112" s="781"/>
    </row>
    <row r="113" spans="1:27" s="226" customFormat="1" ht="68.25" customHeight="1">
      <c r="A113" s="867"/>
      <c r="B113" s="867"/>
      <c r="C113" s="867"/>
      <c r="D113" s="349"/>
      <c r="E113" s="231"/>
      <c r="F113" s="348"/>
      <c r="G113" s="309">
        <f t="shared" si="34"/>
        <v>0</v>
      </c>
      <c r="H113" s="309">
        <f>'CONTAINER HANDLERS FAULTS'!O24</f>
        <v>0</v>
      </c>
      <c r="I113" s="310">
        <f t="shared" si="35"/>
        <v>0</v>
      </c>
      <c r="J113" s="311">
        <f t="shared" si="36"/>
        <v>0</v>
      </c>
      <c r="K113" s="312">
        <f>(1-I113)/0.00069444444444444</f>
        <v>1440.0000000000091</v>
      </c>
      <c r="L113" s="327">
        <f t="shared" si="38"/>
        <v>100</v>
      </c>
      <c r="M113" s="350">
        <f>'CONTAINER HANDLERS FAULTS'!P24</f>
        <v>0</v>
      </c>
      <c r="N113" s="309">
        <f t="shared" si="39"/>
        <v>0.99999999999999367</v>
      </c>
      <c r="O113" s="309" t="e">
        <f t="shared" si="40"/>
        <v>#DIV/0!</v>
      </c>
      <c r="P113" s="593"/>
      <c r="Q113" s="594"/>
      <c r="R113" s="595"/>
      <c r="S113" s="779" t="str">
        <f>CONCATENATE("HK55: ",'CONTAINER HANDLERS FAULTS'!B24,"_",'CONTAINER HANDLERS FAULTS'!G24,"_",'CONTAINER HANDLERS FAULTS'!K24)</f>
        <v>HK55: NIL_NIL_NIL</v>
      </c>
      <c r="T113" s="780"/>
      <c r="U113" s="780"/>
      <c r="V113" s="780"/>
      <c r="W113" s="780"/>
      <c r="X113" s="780"/>
      <c r="Y113" s="780"/>
      <c r="Z113" s="781"/>
    </row>
    <row r="114" spans="1:27" s="226" customFormat="1" ht="68.25" customHeight="1">
      <c r="A114" s="867"/>
      <c r="B114" s="867"/>
      <c r="C114" s="867"/>
      <c r="D114" s="349"/>
      <c r="E114" s="231"/>
      <c r="F114" s="348"/>
      <c r="G114" s="309">
        <f t="shared" si="34"/>
        <v>0</v>
      </c>
      <c r="H114" s="309">
        <f>'CONTAINER HANDLERS FAULTS'!O25</f>
        <v>0</v>
      </c>
      <c r="I114" s="310">
        <f t="shared" si="35"/>
        <v>0</v>
      </c>
      <c r="J114" s="311">
        <f t="shared" si="36"/>
        <v>0</v>
      </c>
      <c r="K114" s="312">
        <f t="shared" si="37"/>
        <v>1440.0000000000091</v>
      </c>
      <c r="L114" s="327">
        <f t="shared" si="38"/>
        <v>100</v>
      </c>
      <c r="M114" s="350">
        <f>'CONTAINER HANDLERS FAULTS'!P25</f>
        <v>0</v>
      </c>
      <c r="N114" s="309">
        <f t="shared" si="39"/>
        <v>0.99999999999999367</v>
      </c>
      <c r="O114" s="309" t="e">
        <f t="shared" si="40"/>
        <v>#DIV/0!</v>
      </c>
      <c r="P114" s="593"/>
      <c r="Q114" s="594"/>
      <c r="R114" s="595"/>
      <c r="S114" s="779" t="str">
        <f>CONCATENATE("HK56: ",'CONTAINER HANDLERS FAULTS'!B25,"_",'CONTAINER HANDLERS FAULTS'!G25,"_",'CONTAINER HANDLERS FAULTS'!K25)</f>
        <v>HK56: NIL_NIL_NIL</v>
      </c>
      <c r="T114" s="780"/>
      <c r="U114" s="780"/>
      <c r="V114" s="780"/>
      <c r="W114" s="780"/>
      <c r="X114" s="780"/>
      <c r="Y114" s="780"/>
      <c r="Z114" s="781"/>
    </row>
    <row r="115" spans="1:27" s="226" customFormat="1" ht="68.25" customHeight="1">
      <c r="A115" s="867"/>
      <c r="B115" s="867"/>
      <c r="C115" s="867"/>
      <c r="D115" s="349"/>
      <c r="E115" s="231"/>
      <c r="F115" s="348"/>
      <c r="G115" s="309">
        <f t="shared" si="34"/>
        <v>60</v>
      </c>
      <c r="H115" s="309">
        <f>'CONTAINER HANDLERS FAULTS'!O26</f>
        <v>1</v>
      </c>
      <c r="I115" s="310">
        <f t="shared" si="35"/>
        <v>1</v>
      </c>
      <c r="J115" s="311">
        <f t="shared" si="36"/>
        <v>1440.0000000000091</v>
      </c>
      <c r="K115" s="312">
        <f t="shared" si="37"/>
        <v>0</v>
      </c>
      <c r="L115" s="327">
        <f t="shared" si="38"/>
        <v>-6.3159354289786681E-13</v>
      </c>
      <c r="M115" s="350">
        <f>'CONTAINER HANDLERS FAULTS'!P26</f>
        <v>0</v>
      </c>
      <c r="N115" s="309">
        <f t="shared" si="39"/>
        <v>-6.3159354289786285E-15</v>
      </c>
      <c r="O115" s="309" t="e">
        <f t="shared" si="40"/>
        <v>#DIV/0!</v>
      </c>
      <c r="P115" s="593"/>
      <c r="Q115" s="594"/>
      <c r="R115" s="595"/>
      <c r="S115" s="779" t="str">
        <f>CONCATENATE("HK57: ",'CONTAINER HANDLERS FAULTS'!B26,"_",'CONTAINER HANDLERS FAULTS'!G26,"_",'CONTAINER HANDLERS FAULTS'!K26)</f>
        <v>HK57: SPD LOCK PIN -OUT_OUT_OUT</v>
      </c>
      <c r="T115" s="780"/>
      <c r="U115" s="780"/>
      <c r="V115" s="780"/>
      <c r="W115" s="780"/>
      <c r="X115" s="780"/>
      <c r="Y115" s="780"/>
      <c r="Z115" s="781"/>
    </row>
    <row r="116" spans="1:27" s="226" customFormat="1" ht="68.25" customHeight="1">
      <c r="A116" s="867"/>
      <c r="B116" s="867"/>
      <c r="C116" s="867"/>
      <c r="D116" s="349"/>
      <c r="E116" s="231"/>
      <c r="F116" s="348"/>
      <c r="G116" s="309">
        <f t="shared" si="34"/>
        <v>60</v>
      </c>
      <c r="H116" s="309">
        <f>'CONTAINER HANDLERS FAULTS'!O27</f>
        <v>1</v>
      </c>
      <c r="I116" s="310">
        <f t="shared" si="35"/>
        <v>1</v>
      </c>
      <c r="J116" s="311">
        <f t="shared" si="36"/>
        <v>1440.0000000000091</v>
      </c>
      <c r="K116" s="312">
        <f>(1-I116)/0.00069444444444444</f>
        <v>0</v>
      </c>
      <c r="L116" s="327">
        <f t="shared" si="38"/>
        <v>-6.3159354289786681E-13</v>
      </c>
      <c r="M116" s="350">
        <f>'CONTAINER HANDLERS FAULTS'!P27</f>
        <v>0</v>
      </c>
      <c r="N116" s="309">
        <f t="shared" si="39"/>
        <v>-6.3159354289786285E-15</v>
      </c>
      <c r="O116" s="309" t="e">
        <f t="shared" si="40"/>
        <v>#DIV/0!</v>
      </c>
      <c r="P116" s="593"/>
      <c r="Q116" s="594"/>
      <c r="R116" s="595"/>
      <c r="S116" s="779" t="str">
        <f>CONCATENATE("HH33: ",'CONTAINER HANDLERS FAULTS'!B27,"_",'CONTAINER HANDLERS FAULTS'!G27,"_",'CONTAINER HANDLERS FAULTS'!K27)</f>
        <v>HH33: GEAR FAULT-OUT_OUT_OUT</v>
      </c>
      <c r="T116" s="780"/>
      <c r="U116" s="780"/>
      <c r="V116" s="780"/>
      <c r="W116" s="780"/>
      <c r="X116" s="780"/>
      <c r="Y116" s="780"/>
      <c r="Z116" s="781"/>
    </row>
    <row r="117" spans="1:27" s="226" customFormat="1" ht="68.25" customHeight="1">
      <c r="A117" s="867"/>
      <c r="B117" s="867"/>
      <c r="C117" s="867"/>
      <c r="D117" s="349"/>
      <c r="E117" s="231"/>
      <c r="F117" s="348"/>
      <c r="G117" s="309">
        <f t="shared" si="34"/>
        <v>60</v>
      </c>
      <c r="H117" s="309">
        <f>'CONTAINER HANDLERS FAULTS'!O28</f>
        <v>1</v>
      </c>
      <c r="I117" s="310">
        <f t="shared" si="35"/>
        <v>1</v>
      </c>
      <c r="J117" s="311">
        <f t="shared" si="36"/>
        <v>1440.0000000000091</v>
      </c>
      <c r="K117" s="312">
        <f t="shared" si="37"/>
        <v>0</v>
      </c>
      <c r="L117" s="327">
        <f t="shared" si="38"/>
        <v>-6.3159354289786681E-13</v>
      </c>
      <c r="M117" s="350">
        <f>'CONTAINER HANDLERS FAULTS'!P27</f>
        <v>0</v>
      </c>
      <c r="N117" s="309">
        <f t="shared" si="39"/>
        <v>-6.3159354289786285E-15</v>
      </c>
      <c r="O117" s="309" t="e">
        <f t="shared" si="40"/>
        <v>#DIV/0!</v>
      </c>
      <c r="P117" s="593"/>
      <c r="Q117" s="594"/>
      <c r="R117" s="595"/>
      <c r="S117" s="779" t="str">
        <f>CONCATENATE("HH35: ",'CONTAINER HANDLERS FAULTS'!B28,"_",'CONTAINER HANDLERS FAULTS'!G28,"_",'CONTAINER HANDLERS FAULTS'!K28)</f>
        <v>HH35: NO MOTIONS-OUT _OUT_OUT</v>
      </c>
      <c r="T117" s="780"/>
      <c r="U117" s="780"/>
      <c r="V117" s="780"/>
      <c r="W117" s="780"/>
      <c r="X117" s="780"/>
      <c r="Y117" s="780"/>
      <c r="Z117" s="781"/>
    </row>
    <row r="118" spans="1:27" s="226" customFormat="1" ht="68.25" customHeight="1">
      <c r="A118" s="747" t="s">
        <v>23</v>
      </c>
      <c r="B118" s="748"/>
      <c r="C118" s="748"/>
      <c r="D118" s="328">
        <v>21</v>
      </c>
      <c r="E118" s="586">
        <f>'CONTAINER HANDLERS FAULTS'!L7+'CONTAINER HANDLERS FAULTS'!L8</f>
        <v>13</v>
      </c>
      <c r="F118" s="329">
        <v>18</v>
      </c>
      <c r="G118" s="309">
        <f>SUM(G99:G117)</f>
        <v>578.95833333333337</v>
      </c>
      <c r="H118" s="360" t="s">
        <v>22</v>
      </c>
      <c r="I118" s="361"/>
      <c r="J118" s="361"/>
      <c r="K118" s="305"/>
      <c r="L118" s="361"/>
      <c r="M118" s="361"/>
      <c r="N118" s="361"/>
      <c r="O118" s="361"/>
      <c r="P118" s="371"/>
      <c r="Q118" s="371"/>
      <c r="R118" s="304"/>
      <c r="S118" s="825"/>
      <c r="T118" s="825"/>
      <c r="U118" s="825"/>
      <c r="V118" s="825"/>
      <c r="W118" s="825"/>
      <c r="X118" s="825"/>
      <c r="Y118" s="825"/>
      <c r="Z118" s="825"/>
    </row>
    <row r="119" spans="1:27" s="226" customFormat="1" ht="68.25" customHeight="1" thickBot="1">
      <c r="A119" s="831"/>
      <c r="B119" s="832"/>
      <c r="C119" s="839"/>
      <c r="D119" s="366"/>
      <c r="E119" s="366"/>
      <c r="F119" s="317"/>
      <c r="G119" s="309">
        <f t="shared" si="34"/>
        <v>60</v>
      </c>
      <c r="H119" s="309">
        <f>'CONTAINER HANDLERS FAULTS'!O31</f>
        <v>1</v>
      </c>
      <c r="I119" s="310">
        <f t="shared" ref="I119:I135" si="41">H119</f>
        <v>1</v>
      </c>
      <c r="J119" s="311">
        <f t="shared" ref="J119:J128" si="42">I119/0.00069444444444444</f>
        <v>1440.0000000000091</v>
      </c>
      <c r="K119" s="312">
        <f t="shared" ref="K119:K128" si="43">(1-I119)/0.00069444444444444</f>
        <v>0</v>
      </c>
      <c r="L119" s="313">
        <f t="shared" ref="L119:L139" si="44">((1440-(J119))/1440)*100</f>
        <v>-6.3159354289786681E-13</v>
      </c>
      <c r="M119" s="350">
        <f>'CONTAINER HANDLERS FAULTS'!P31</f>
        <v>0</v>
      </c>
      <c r="N119" s="309">
        <f t="shared" ref="N119:N126" si="45">((1440-J119)/(M119+1))*0.00069444444444444</f>
        <v>-6.3159354289786285E-15</v>
      </c>
      <c r="O119" s="314" t="e">
        <f t="shared" ref="O119:O139" si="46">((1440-K119)/(M119))*0.00069444444444444</f>
        <v>#DIV/0!</v>
      </c>
      <c r="P119" s="599">
        <f>AVERAGE(L119:L139)</f>
        <v>66.45171957671937</v>
      </c>
      <c r="Q119" s="598">
        <f>AVERAGEIF(N119:N139,"&gt;0",N119:N139)</f>
        <v>0.92695932539681924</v>
      </c>
      <c r="R119" s="598">
        <f>AVERAGEIF(O119:O139,"&gt;0",O119:O139)</f>
        <v>2.2569444444438064E-2</v>
      </c>
      <c r="S119" s="746" t="str">
        <f>CONCATENATE("ECH07: ",'CONTAINER HANDLERS FAULTS'!B31,"_",'CONTAINER HANDLERS FAULTS'!G31,"_",'CONTAINER HANDLERS FAULTS'!K31)</f>
        <v>ECH07: REVERSE GEAR FAULT-OUT _OUT_OUT</v>
      </c>
      <c r="T119" s="746"/>
      <c r="U119" s="746"/>
      <c r="V119" s="746"/>
      <c r="W119" s="746"/>
      <c r="X119" s="746"/>
      <c r="Y119" s="746"/>
      <c r="Z119" s="746"/>
      <c r="AA119" s="226">
        <f>P119/100*21</f>
        <v>13.954861111111068</v>
      </c>
    </row>
    <row r="120" spans="1:27" s="226" customFormat="1" ht="81" customHeight="1" thickBot="1">
      <c r="A120" s="592" t="s">
        <v>117</v>
      </c>
      <c r="B120" s="591">
        <f>'CONTAINER HANDLERS FAULTS'!L7</f>
        <v>7</v>
      </c>
      <c r="C120" s="232">
        <f>AVERAGE(L121,L122,L127,L128,L129,L130,L131,L132,L133,L134,L135,L136,L137,L138,L139)</f>
        <v>86.365740740740662</v>
      </c>
      <c r="D120" s="145" t="s">
        <v>118</v>
      </c>
      <c r="E120" s="299">
        <f>AA119</f>
        <v>13.954861111111068</v>
      </c>
      <c r="F120" s="356"/>
      <c r="G120" s="309">
        <f t="shared" si="34"/>
        <v>60</v>
      </c>
      <c r="H120" s="309">
        <f>'CONTAINER HANDLERS FAULTS'!O32</f>
        <v>1</v>
      </c>
      <c r="I120" s="310">
        <f t="shared" si="41"/>
        <v>1</v>
      </c>
      <c r="J120" s="311">
        <f t="shared" si="42"/>
        <v>1440.0000000000091</v>
      </c>
      <c r="K120" s="312">
        <f t="shared" si="43"/>
        <v>0</v>
      </c>
      <c r="L120" s="313">
        <f t="shared" si="44"/>
        <v>-6.3159354289786681E-13</v>
      </c>
      <c r="M120" s="350">
        <f>'CONTAINER HANDLERS FAULTS'!P32</f>
        <v>0</v>
      </c>
      <c r="N120" s="309">
        <f t="shared" si="45"/>
        <v>-6.3159354289786285E-15</v>
      </c>
      <c r="O120" s="314" t="e">
        <f t="shared" si="46"/>
        <v>#DIV/0!</v>
      </c>
      <c r="P120" s="228">
        <v>90</v>
      </c>
      <c r="Q120" s="229">
        <v>0.89166666666666705</v>
      </c>
      <c r="R120" s="229">
        <v>7.2916666666666699E-2</v>
      </c>
      <c r="S120" s="779" t="str">
        <f>CONCATENATE("ECH09: ",'CONTAINER HANDLERS FAULTS'!B32,"_",'CONTAINER HANDLERS FAULTS'!G32,"_",'CONTAINER HANDLERS FAULTS'!K32)</f>
        <v>ECH09: LOW ENGINE POWER-OUT_OUT_OUT</v>
      </c>
      <c r="T120" s="780"/>
      <c r="U120" s="780"/>
      <c r="V120" s="780"/>
      <c r="W120" s="780"/>
      <c r="X120" s="780"/>
      <c r="Y120" s="780"/>
      <c r="Z120" s="781"/>
    </row>
    <row r="121" spans="1:27" s="226" customFormat="1" ht="63.75" customHeight="1">
      <c r="A121" s="596"/>
      <c r="B121" s="597"/>
      <c r="C121" s="232"/>
      <c r="D121" s="349"/>
      <c r="E121" s="231"/>
      <c r="F121" s="348"/>
      <c r="G121" s="309">
        <f t="shared" si="34"/>
        <v>0</v>
      </c>
      <c r="H121" s="309">
        <f>'CONTAINER HANDLERS FAULTS'!O33</f>
        <v>0</v>
      </c>
      <c r="I121" s="310">
        <f t="shared" si="41"/>
        <v>0</v>
      </c>
      <c r="J121" s="311">
        <f t="shared" si="42"/>
        <v>0</v>
      </c>
      <c r="K121" s="312">
        <f t="shared" si="43"/>
        <v>1440.0000000000091</v>
      </c>
      <c r="L121" s="313">
        <f t="shared" si="44"/>
        <v>100</v>
      </c>
      <c r="M121" s="350">
        <f>'CONTAINER HANDLERS FAULTS'!P33</f>
        <v>0</v>
      </c>
      <c r="N121" s="309">
        <f t="shared" si="45"/>
        <v>0.99999999999999367</v>
      </c>
      <c r="O121" s="314" t="e">
        <f t="shared" si="46"/>
        <v>#DIV/0!</v>
      </c>
      <c r="P121" s="359"/>
      <c r="Q121" s="370"/>
      <c r="R121" s="358"/>
      <c r="S121" s="779" t="str">
        <f>CONCATENATE("ECH12: ",'CONTAINER HANDLERS FAULTS'!B33,"_",'CONTAINER HANDLERS FAULTS'!G33,"_",'CONTAINER HANDLERS FAULTS'!K33)</f>
        <v>ECH12: NIL_NIL_NIL</v>
      </c>
      <c r="T121" s="780"/>
      <c r="U121" s="780"/>
      <c r="V121" s="780"/>
      <c r="W121" s="780"/>
      <c r="X121" s="780"/>
      <c r="Y121" s="780"/>
      <c r="Z121" s="781"/>
    </row>
    <row r="122" spans="1:27" s="226" customFormat="1" ht="63.75" customHeight="1">
      <c r="A122" s="342" t="s">
        <v>123</v>
      </c>
      <c r="B122" s="342">
        <f>'CONTAINER HANDLERS FAULTS'!L8</f>
        <v>6</v>
      </c>
      <c r="C122" s="232">
        <f>AVERAGE(L119,L120,L124,L125,L126)</f>
        <v>19.999999999999496</v>
      </c>
      <c r="D122" s="349"/>
      <c r="E122" s="231"/>
      <c r="F122" s="348"/>
      <c r="G122" s="309">
        <f t="shared" si="34"/>
        <v>60</v>
      </c>
      <c r="H122" s="309">
        <f>'CONTAINER HANDLERS FAULTS'!O34</f>
        <v>1</v>
      </c>
      <c r="I122" s="310">
        <f t="shared" si="41"/>
        <v>1</v>
      </c>
      <c r="J122" s="311">
        <f t="shared" si="42"/>
        <v>1440.0000000000091</v>
      </c>
      <c r="K122" s="312">
        <f t="shared" si="43"/>
        <v>0</v>
      </c>
      <c r="L122" s="313">
        <f t="shared" si="44"/>
        <v>-6.3159354289786681E-13</v>
      </c>
      <c r="M122" s="350">
        <f>'CONTAINER HANDLERS FAULTS'!P34</f>
        <v>0</v>
      </c>
      <c r="N122" s="309">
        <f t="shared" si="45"/>
        <v>-6.3159354289786285E-15</v>
      </c>
      <c r="O122" s="314" t="e">
        <f t="shared" si="46"/>
        <v>#DIV/0!</v>
      </c>
      <c r="P122" s="359"/>
      <c r="Q122" s="370"/>
      <c r="R122" s="358"/>
      <c r="S122" s="779" t="str">
        <f>CONCATENATE("ECH14: ",'CONTAINER HANDLERS FAULTS'!B34,"_",'CONTAINER HANDLERS FAULTS'!G34,"_",'CONTAINER HANDLERS FAULTS'!K34)</f>
        <v>ECH14: LOCK SIGNAL -OUT_OUT_OUT</v>
      </c>
      <c r="T122" s="780"/>
      <c r="U122" s="780"/>
      <c r="V122" s="780"/>
      <c r="W122" s="780"/>
      <c r="X122" s="780"/>
      <c r="Y122" s="780"/>
      <c r="Z122" s="781"/>
    </row>
    <row r="123" spans="1:27" s="226" customFormat="1" ht="68.25" customHeight="1">
      <c r="A123" s="761"/>
      <c r="B123" s="762"/>
      <c r="C123" s="865"/>
      <c r="D123" s="231"/>
      <c r="E123" s="231"/>
      <c r="F123" s="348"/>
      <c r="G123" s="309">
        <f t="shared" si="34"/>
        <v>60</v>
      </c>
      <c r="H123" s="309">
        <f>'CONTAINER HANDLERS FAULTS'!O35</f>
        <v>1</v>
      </c>
      <c r="I123" s="310">
        <f t="shared" si="41"/>
        <v>1</v>
      </c>
      <c r="J123" s="311">
        <f t="shared" si="42"/>
        <v>1440.0000000000091</v>
      </c>
      <c r="K123" s="312">
        <f t="shared" si="43"/>
        <v>0</v>
      </c>
      <c r="L123" s="313">
        <f t="shared" si="44"/>
        <v>-6.3159354289786681E-13</v>
      </c>
      <c r="M123" s="350">
        <f>'CONTAINER HANDLERS FAULTS'!P35</f>
        <v>0</v>
      </c>
      <c r="N123" s="309">
        <f t="shared" si="45"/>
        <v>-6.3159354289786285E-15</v>
      </c>
      <c r="O123" s="314" t="e">
        <f t="shared" si="46"/>
        <v>#DIV/0!</v>
      </c>
      <c r="P123" s="359"/>
      <c r="Q123" s="370"/>
      <c r="R123" s="358"/>
      <c r="S123" s="779" t="str">
        <f>CONCATENATE("ECH17: ",'CONTAINER HANDLERS FAULTS'!B35,"_",'CONTAINER HANDLERS FAULTS'!G35,"_",'CONTAINER HANDLERS FAULTS'!K35)</f>
        <v>ECH17: COMMUNICATION/ ENGINE STARTING -OUT_OUT_OUT</v>
      </c>
      <c r="T123" s="780"/>
      <c r="U123" s="780"/>
      <c r="V123" s="780"/>
      <c r="W123" s="780"/>
      <c r="X123" s="780"/>
      <c r="Y123" s="780"/>
      <c r="Z123" s="781"/>
    </row>
    <row r="124" spans="1:27" s="226" customFormat="1" ht="68.25" customHeight="1">
      <c r="A124" s="764"/>
      <c r="B124" s="765"/>
      <c r="C124" s="866"/>
      <c r="D124" s="231"/>
      <c r="E124" s="231"/>
      <c r="F124" s="348"/>
      <c r="G124" s="309">
        <f t="shared" si="34"/>
        <v>60</v>
      </c>
      <c r="H124" s="309">
        <f>'CONTAINER HANDLERS FAULTS'!O36</f>
        <v>1</v>
      </c>
      <c r="I124" s="310">
        <f t="shared" si="41"/>
        <v>1</v>
      </c>
      <c r="J124" s="311">
        <f t="shared" si="42"/>
        <v>1440.0000000000091</v>
      </c>
      <c r="K124" s="312">
        <f t="shared" si="43"/>
        <v>0</v>
      </c>
      <c r="L124" s="313">
        <f t="shared" si="44"/>
        <v>-6.3159354289786681E-13</v>
      </c>
      <c r="M124" s="350">
        <f>'CONTAINER HANDLERS FAULTS'!P36</f>
        <v>0</v>
      </c>
      <c r="N124" s="309">
        <f t="shared" si="45"/>
        <v>-6.3159354289786285E-15</v>
      </c>
      <c r="O124" s="314" t="e">
        <f t="shared" si="46"/>
        <v>#DIV/0!</v>
      </c>
      <c r="P124" s="359"/>
      <c r="Q124" s="370"/>
      <c r="R124" s="358"/>
      <c r="S124" s="779" t="str">
        <f>CONCATENATE("ECH18: ",'CONTAINER HANDLERS FAULTS'!B36,"_",'CONTAINER HANDLERS FAULTS'!G36,"_",'CONTAINER HANDLERS FAULTS'!K36)</f>
        <v>ECH18: BRAKE OIL LEAK - OUT_OUT_OUT</v>
      </c>
      <c r="T124" s="780"/>
      <c r="U124" s="780"/>
      <c r="V124" s="780"/>
      <c r="W124" s="780"/>
      <c r="X124" s="780"/>
      <c r="Y124" s="780"/>
      <c r="Z124" s="781"/>
    </row>
    <row r="125" spans="1:27" s="226" customFormat="1" ht="68.25" customHeight="1">
      <c r="A125" s="354"/>
      <c r="B125" s="364"/>
      <c r="C125" s="352"/>
      <c r="D125" s="231"/>
      <c r="E125" s="231"/>
      <c r="F125" s="348"/>
      <c r="G125" s="309">
        <f t="shared" si="34"/>
        <v>0</v>
      </c>
      <c r="H125" s="309">
        <f>'CONTAINER HANDLERS FAULTS'!O37</f>
        <v>0</v>
      </c>
      <c r="I125" s="310">
        <f t="shared" si="41"/>
        <v>0</v>
      </c>
      <c r="J125" s="311">
        <f t="shared" si="42"/>
        <v>0</v>
      </c>
      <c r="K125" s="312">
        <f t="shared" si="43"/>
        <v>1440.0000000000091</v>
      </c>
      <c r="L125" s="313">
        <f t="shared" si="44"/>
        <v>100</v>
      </c>
      <c r="M125" s="350">
        <f>'CONTAINER HANDLERS FAULTS'!P37</f>
        <v>0</v>
      </c>
      <c r="N125" s="309">
        <f t="shared" si="45"/>
        <v>0.99999999999999367</v>
      </c>
      <c r="O125" s="314" t="e">
        <f t="shared" si="46"/>
        <v>#DIV/0!</v>
      </c>
      <c r="P125" s="359"/>
      <c r="Q125" s="370"/>
      <c r="R125" s="358"/>
      <c r="S125" s="779" t="str">
        <f>CONCATENATE("ECH19: ",'CONTAINER HANDLERS FAULTS'!B37,"_",'CONTAINER HANDLERS FAULTS'!G37,"_",'CONTAINER HANDLERS FAULTS'!K37)</f>
        <v>ECH19: NIL_NIL_NIL</v>
      </c>
      <c r="T125" s="780"/>
      <c r="U125" s="780"/>
      <c r="V125" s="780"/>
      <c r="W125" s="780"/>
      <c r="X125" s="780"/>
      <c r="Y125" s="780"/>
      <c r="Z125" s="781"/>
    </row>
    <row r="126" spans="1:27" s="226" customFormat="1" ht="68.25" customHeight="1">
      <c r="A126" s="354"/>
      <c r="B126" s="364"/>
      <c r="C126" s="352"/>
      <c r="D126" s="231"/>
      <c r="E126" s="231"/>
      <c r="F126" s="348"/>
      <c r="G126" s="309">
        <f t="shared" si="34"/>
        <v>60</v>
      </c>
      <c r="H126" s="309">
        <f>'CONTAINER HANDLERS FAULTS'!O38</f>
        <v>1</v>
      </c>
      <c r="I126" s="310">
        <f t="shared" si="41"/>
        <v>1</v>
      </c>
      <c r="J126" s="311">
        <f t="shared" si="42"/>
        <v>1440.0000000000091</v>
      </c>
      <c r="K126" s="312">
        <f t="shared" si="43"/>
        <v>0</v>
      </c>
      <c r="L126" s="313">
        <f t="shared" si="44"/>
        <v>-6.3159354289786681E-13</v>
      </c>
      <c r="M126" s="350">
        <f>'CONTAINER HANDLERS FAULTS'!P38</f>
        <v>0</v>
      </c>
      <c r="N126" s="309">
        <f t="shared" si="45"/>
        <v>-6.3159354289786285E-15</v>
      </c>
      <c r="O126" s="314" t="e">
        <f t="shared" si="46"/>
        <v>#DIV/0!</v>
      </c>
      <c r="P126" s="359"/>
      <c r="Q126" s="370"/>
      <c r="R126" s="358"/>
      <c r="S126" s="746" t="str">
        <f>CONCATENATE("ECH20: ",'CONTAINER HANDLERS FAULTS'!B38,"_",'CONTAINER HANDLERS FAULTS'!G38,"_",'CONTAINER HANDLERS FAULTS'!K38)</f>
        <v>ECH20: CAN BUS-OUT_OUT_OUT</v>
      </c>
      <c r="T126" s="746"/>
      <c r="U126" s="746"/>
      <c r="V126" s="746"/>
      <c r="W126" s="746"/>
      <c r="X126" s="746"/>
      <c r="Y126" s="746"/>
      <c r="Z126" s="746"/>
    </row>
    <row r="127" spans="1:27" s="226" customFormat="1" ht="68.25" customHeight="1">
      <c r="A127" s="354"/>
      <c r="B127" s="364"/>
      <c r="C127" s="352"/>
      <c r="D127" s="231"/>
      <c r="E127" s="231"/>
      <c r="F127" s="348"/>
      <c r="G127" s="309">
        <f t="shared" si="34"/>
        <v>0</v>
      </c>
      <c r="H127" s="309">
        <f>'CONTAINER HANDLERS FAULTS'!O39</f>
        <v>0</v>
      </c>
      <c r="I127" s="310">
        <f t="shared" si="41"/>
        <v>0</v>
      </c>
      <c r="J127" s="311">
        <f t="shared" si="42"/>
        <v>0</v>
      </c>
      <c r="K127" s="312">
        <f t="shared" si="43"/>
        <v>1440.0000000000091</v>
      </c>
      <c r="L127" s="313">
        <f t="shared" si="44"/>
        <v>100</v>
      </c>
      <c r="M127" s="350">
        <f>'CONTAINER HANDLERS FAULTS'!P39</f>
        <v>0</v>
      </c>
      <c r="N127" s="309">
        <f t="shared" ref="N127:N139" si="47">((1440-J127)/(M127+1))*0.00069444444444444</f>
        <v>0.99999999999999367</v>
      </c>
      <c r="O127" s="314" t="e">
        <f t="shared" si="46"/>
        <v>#DIV/0!</v>
      </c>
      <c r="P127" s="359"/>
      <c r="Q127" s="370"/>
      <c r="R127" s="358"/>
      <c r="S127" s="746" t="str">
        <f>CONCATENATE("ECH21: ",'CONTAINER HANDLERS FAULTS'!B39,"_",'CONTAINER HANDLERS FAULTS'!G39,"_",'CONTAINER HANDLERS FAULTS'!K39)</f>
        <v>ECH21: NIL_NIL_NIL</v>
      </c>
      <c r="T127" s="746"/>
      <c r="U127" s="746"/>
      <c r="V127" s="746"/>
      <c r="W127" s="746"/>
      <c r="X127" s="746"/>
      <c r="Y127" s="746"/>
      <c r="Z127" s="746"/>
    </row>
    <row r="128" spans="1:27" s="226" customFormat="1" ht="68.25" customHeight="1">
      <c r="A128" s="354"/>
      <c r="B128" s="364"/>
      <c r="C128" s="352"/>
      <c r="D128" s="231"/>
      <c r="E128" s="231"/>
      <c r="F128" s="348"/>
      <c r="G128" s="309">
        <f t="shared" si="34"/>
        <v>0.625</v>
      </c>
      <c r="H128" s="309">
        <f>'CONTAINER HANDLERS FAULTS'!O40</f>
        <v>1.0416666666666666E-2</v>
      </c>
      <c r="I128" s="310">
        <f t="shared" si="41"/>
        <v>1.0416666666666666E-2</v>
      </c>
      <c r="J128" s="311">
        <f t="shared" si="42"/>
        <v>15.000000000000094</v>
      </c>
      <c r="K128" s="312">
        <f t="shared" si="43"/>
        <v>1425.0000000000091</v>
      </c>
      <c r="L128" s="313">
        <f t="shared" si="44"/>
        <v>98.958333333333343</v>
      </c>
      <c r="M128" s="350">
        <f>'CONTAINER HANDLERS FAULTS'!P40</f>
        <v>1</v>
      </c>
      <c r="N128" s="309">
        <f t="shared" si="47"/>
        <v>0.49479166666666352</v>
      </c>
      <c r="O128" s="314">
        <f t="shared" si="46"/>
        <v>1.0416666666660284E-2</v>
      </c>
      <c r="P128" s="359"/>
      <c r="Q128" s="370"/>
      <c r="R128" s="358"/>
      <c r="S128" s="746" t="str">
        <f>CONCATENATE("ECH22: ",'CONTAINER HANDLERS FAULTS'!B40,"_",'CONTAINER HANDLERS FAULTS'!G40,"_",'CONTAINER HANDLERS FAULTS'!K40)</f>
        <v>ECH22: LOCK SIGNAL _NIL_NIL</v>
      </c>
      <c r="T128" s="746"/>
      <c r="U128" s="746"/>
      <c r="V128" s="746"/>
      <c r="W128" s="746"/>
      <c r="X128" s="746"/>
      <c r="Y128" s="746"/>
      <c r="Z128" s="746"/>
    </row>
    <row r="129" spans="1:27" s="226" customFormat="1" ht="68.25" customHeight="1">
      <c r="A129" s="354"/>
      <c r="B129" s="364"/>
      <c r="C129" s="352"/>
      <c r="D129" s="231"/>
      <c r="E129" s="231"/>
      <c r="F129" s="348"/>
      <c r="G129" s="309">
        <f t="shared" si="34"/>
        <v>2.0833333333333335</v>
      </c>
      <c r="H129" s="309">
        <f>'CONTAINER HANDLERS FAULTS'!O41</f>
        <v>3.4722222222222224E-2</v>
      </c>
      <c r="I129" s="310">
        <f t="shared" si="41"/>
        <v>3.4722222222222224E-2</v>
      </c>
      <c r="J129" s="311">
        <f t="shared" ref="J129:J135" si="48">I129/0.00069444444444444</f>
        <v>50.00000000000032</v>
      </c>
      <c r="K129" s="312">
        <f t="shared" ref="K129:K135" si="49">(1-I129)/0.00069444444444444</f>
        <v>1390.0000000000089</v>
      </c>
      <c r="L129" s="313">
        <f t="shared" si="44"/>
        <v>96.527777777777757</v>
      </c>
      <c r="M129" s="350">
        <f>'CONTAINER HANDLERS FAULTS'!P41</f>
        <v>1</v>
      </c>
      <c r="N129" s="309">
        <f t="shared" si="47"/>
        <v>0.48263888888888573</v>
      </c>
      <c r="O129" s="314">
        <f t="shared" si="46"/>
        <v>3.472222222221584E-2</v>
      </c>
      <c r="P129" s="359"/>
      <c r="Q129" s="370"/>
      <c r="R129" s="358"/>
      <c r="S129" s="746" t="str">
        <f>CONCATENATE("ECH23: ",'CONTAINER HANDLERS FAULTS'!B41,"_",'CONTAINER HANDLERS FAULTS'!G41,"_",'CONTAINER HANDLERS FAULTS'!K41)</f>
        <v>ECH23: NIL_NIL_LOW BATTERY-OUT@0610HRS</v>
      </c>
      <c r="T129" s="746"/>
      <c r="U129" s="746"/>
      <c r="V129" s="746"/>
      <c r="W129" s="746"/>
      <c r="X129" s="746"/>
      <c r="Y129" s="746"/>
      <c r="Z129" s="746"/>
    </row>
    <row r="130" spans="1:27" s="226" customFormat="1" ht="68.25" customHeight="1">
      <c r="A130" s="354"/>
      <c r="B130" s="364"/>
      <c r="C130" s="352"/>
      <c r="D130" s="231"/>
      <c r="E130" s="231"/>
      <c r="F130" s="348"/>
      <c r="G130" s="309">
        <f t="shared" si="34"/>
        <v>60</v>
      </c>
      <c r="H130" s="309">
        <f>'CONTAINER HANDLERS FAULTS'!O42</f>
        <v>1</v>
      </c>
      <c r="I130" s="310">
        <f t="shared" si="41"/>
        <v>1</v>
      </c>
      <c r="J130" s="311">
        <f t="shared" si="48"/>
        <v>1440.0000000000091</v>
      </c>
      <c r="K130" s="312">
        <f t="shared" si="49"/>
        <v>0</v>
      </c>
      <c r="L130" s="313">
        <f t="shared" si="44"/>
        <v>-6.3159354289786681E-13</v>
      </c>
      <c r="M130" s="350">
        <f>'CONTAINER HANDLERS FAULTS'!P42</f>
        <v>0</v>
      </c>
      <c r="N130" s="309">
        <f t="shared" si="47"/>
        <v>-6.3159354289786285E-15</v>
      </c>
      <c r="O130" s="314" t="e">
        <f t="shared" si="46"/>
        <v>#DIV/0!</v>
      </c>
      <c r="P130" s="359"/>
      <c r="Q130" s="370"/>
      <c r="R130" s="358"/>
      <c r="S130" s="746" t="str">
        <f>CONCATENATE("ECH24: ",'CONTAINER HANDLERS FAULTS'!B42,"_",'CONTAINER HANDLERS FAULTS'!G42,"_",'CONTAINER HANDLERS FAULTS'!K42)</f>
        <v>ECH24: BOOM LENGTH SENSOR-OUT_OUT_OUT</v>
      </c>
      <c r="T130" s="746"/>
      <c r="U130" s="746"/>
      <c r="V130" s="746"/>
      <c r="W130" s="746"/>
      <c r="X130" s="746"/>
      <c r="Y130" s="746"/>
      <c r="Z130" s="746"/>
    </row>
    <row r="131" spans="1:27" s="226" customFormat="1" ht="68.25" customHeight="1">
      <c r="A131" s="354"/>
      <c r="B131" s="364"/>
      <c r="C131" s="352"/>
      <c r="D131" s="231"/>
      <c r="E131" s="231"/>
      <c r="F131" s="348"/>
      <c r="G131" s="309">
        <f t="shared" si="34"/>
        <v>0</v>
      </c>
      <c r="H131" s="309">
        <f>'CONTAINER HANDLERS FAULTS'!O43</f>
        <v>0</v>
      </c>
      <c r="I131" s="310">
        <f t="shared" si="41"/>
        <v>0</v>
      </c>
      <c r="J131" s="311">
        <f t="shared" si="48"/>
        <v>0</v>
      </c>
      <c r="K131" s="312">
        <f t="shared" si="49"/>
        <v>1440.0000000000091</v>
      </c>
      <c r="L131" s="313">
        <f t="shared" si="44"/>
        <v>100</v>
      </c>
      <c r="M131" s="350">
        <f>'CONTAINER HANDLERS FAULTS'!P43</f>
        <v>0</v>
      </c>
      <c r="N131" s="309">
        <f t="shared" si="47"/>
        <v>0.99999999999999367</v>
      </c>
      <c r="O131" s="314" t="e">
        <f t="shared" si="46"/>
        <v>#DIV/0!</v>
      </c>
      <c r="P131" s="359"/>
      <c r="Q131" s="370"/>
      <c r="R131" s="358"/>
      <c r="S131" s="746" t="str">
        <f>CONCATENATE("ECH25: ",'CONTAINER HANDLERS FAULTS'!B43,"_",'CONTAINER HANDLERS FAULTS'!G43,"_",'CONTAINER HANDLERS FAULTS'!K43)</f>
        <v>ECH25: NIL_NIL_NIL</v>
      </c>
      <c r="T131" s="746"/>
      <c r="U131" s="746"/>
      <c r="V131" s="746"/>
      <c r="W131" s="746"/>
      <c r="X131" s="746"/>
      <c r="Y131" s="746"/>
      <c r="Z131" s="746"/>
    </row>
    <row r="132" spans="1:27" s="226" customFormat="1" ht="68.25" customHeight="1">
      <c r="A132" s="354"/>
      <c r="B132" s="364"/>
      <c r="C132" s="352"/>
      <c r="D132" s="231"/>
      <c r="E132" s="231"/>
      <c r="F132" s="348"/>
      <c r="G132" s="309">
        <f t="shared" si="34"/>
        <v>0</v>
      </c>
      <c r="H132" s="309">
        <f>'CONTAINER HANDLERS FAULTS'!O44</f>
        <v>0</v>
      </c>
      <c r="I132" s="310">
        <f t="shared" si="41"/>
        <v>0</v>
      </c>
      <c r="J132" s="311">
        <f t="shared" si="48"/>
        <v>0</v>
      </c>
      <c r="K132" s="312">
        <f t="shared" si="49"/>
        <v>1440.0000000000091</v>
      </c>
      <c r="L132" s="313">
        <f t="shared" si="44"/>
        <v>100</v>
      </c>
      <c r="M132" s="350">
        <f>'CONTAINER HANDLERS FAULTS'!P44</f>
        <v>0</v>
      </c>
      <c r="N132" s="309">
        <f t="shared" si="47"/>
        <v>0.99999999999999367</v>
      </c>
      <c r="O132" s="314" t="e">
        <f t="shared" si="46"/>
        <v>#DIV/0!</v>
      </c>
      <c r="P132" s="359"/>
      <c r="Q132" s="370"/>
      <c r="R132" s="358"/>
      <c r="S132" s="746" t="str">
        <f>CONCATENATE("ECH26: ",'CONTAINER HANDLERS FAULTS'!B44,"_",'CONTAINER HANDLERS FAULTS'!G44,"_",'CONTAINER HANDLERS FAULTS'!K44)</f>
        <v>ECH26: NIL_NIL_NIL</v>
      </c>
      <c r="T132" s="746"/>
      <c r="U132" s="746"/>
      <c r="V132" s="746"/>
      <c r="W132" s="746"/>
      <c r="X132" s="746"/>
      <c r="Y132" s="746"/>
      <c r="Z132" s="746"/>
    </row>
    <row r="133" spans="1:27" s="226" customFormat="1" ht="68.25" customHeight="1">
      <c r="A133" s="354"/>
      <c r="B133" s="364"/>
      <c r="C133" s="352"/>
      <c r="D133" s="231"/>
      <c r="E133" s="231"/>
      <c r="F133" s="348"/>
      <c r="G133" s="309">
        <f t="shared" si="34"/>
        <v>0</v>
      </c>
      <c r="H133" s="309">
        <f>'CONTAINER HANDLERS FAULTS'!O45</f>
        <v>0</v>
      </c>
      <c r="I133" s="310">
        <f t="shared" si="41"/>
        <v>0</v>
      </c>
      <c r="J133" s="311">
        <f t="shared" si="48"/>
        <v>0</v>
      </c>
      <c r="K133" s="312">
        <f t="shared" si="49"/>
        <v>1440.0000000000091</v>
      </c>
      <c r="L133" s="313">
        <f t="shared" si="44"/>
        <v>100</v>
      </c>
      <c r="M133" s="350">
        <f>'CONTAINER HANDLERS FAULTS'!P45</f>
        <v>0</v>
      </c>
      <c r="N133" s="309">
        <f t="shared" si="47"/>
        <v>0.99999999999999367</v>
      </c>
      <c r="O133" s="314" t="e">
        <f t="shared" si="46"/>
        <v>#DIV/0!</v>
      </c>
      <c r="P133" s="359"/>
      <c r="Q133" s="370"/>
      <c r="R133" s="358"/>
      <c r="S133" s="746" t="str">
        <f>CONCATENATE("ECH27: ",'CONTAINER HANDLERS FAULTS'!B45,"_",'CONTAINER HANDLERS FAULTS'!G45,"_",'CONTAINER HANDLERS FAULTS'!K45)</f>
        <v>ECH27: NIL_NIL_NIL</v>
      </c>
      <c r="T133" s="746"/>
      <c r="U133" s="746"/>
      <c r="V133" s="746"/>
      <c r="W133" s="746"/>
      <c r="X133" s="746"/>
      <c r="Y133" s="746"/>
      <c r="Z133" s="746"/>
    </row>
    <row r="134" spans="1:27" s="226" customFormat="1" ht="68.25" customHeight="1">
      <c r="A134" s="354"/>
      <c r="B134" s="364"/>
      <c r="C134" s="352"/>
      <c r="D134" s="231"/>
      <c r="E134" s="231"/>
      <c r="F134" s="348"/>
      <c r="G134" s="309">
        <f t="shared" si="34"/>
        <v>0</v>
      </c>
      <c r="H134" s="309">
        <f>'CONTAINER HANDLERS FAULTS'!O46</f>
        <v>0</v>
      </c>
      <c r="I134" s="310">
        <f t="shared" si="41"/>
        <v>0</v>
      </c>
      <c r="J134" s="311">
        <f t="shared" si="48"/>
        <v>0</v>
      </c>
      <c r="K134" s="312">
        <f t="shared" si="49"/>
        <v>1440.0000000000091</v>
      </c>
      <c r="L134" s="313">
        <f t="shared" si="44"/>
        <v>100</v>
      </c>
      <c r="M134" s="350">
        <f>'CONTAINER HANDLERS FAULTS'!P46</f>
        <v>0</v>
      </c>
      <c r="N134" s="309">
        <f t="shared" si="47"/>
        <v>0.99999999999999367</v>
      </c>
      <c r="O134" s="314" t="e">
        <f t="shared" si="46"/>
        <v>#DIV/0!</v>
      </c>
      <c r="P134" s="359"/>
      <c r="Q134" s="370"/>
      <c r="R134" s="358"/>
      <c r="S134" s="746" t="str">
        <f>CONCATENATE("ECH28: ",'CONTAINER HANDLERS FAULTS'!B46,"_",'CONTAINER HANDLERS FAULTS'!G46,"_",'CONTAINER HANDLERS FAULTS'!K46)</f>
        <v>ECH28: NIL_NIL_NIL</v>
      </c>
      <c r="T134" s="746"/>
      <c r="U134" s="746"/>
      <c r="V134" s="746"/>
      <c r="W134" s="746"/>
      <c r="X134" s="746"/>
      <c r="Y134" s="746"/>
      <c r="Z134" s="746"/>
    </row>
    <row r="135" spans="1:27" s="226" customFormat="1" ht="68.25" customHeight="1">
      <c r="A135" s="354"/>
      <c r="B135" s="364"/>
      <c r="C135" s="352"/>
      <c r="D135" s="231"/>
      <c r="E135" s="231"/>
      <c r="F135" s="348"/>
      <c r="G135" s="309">
        <f t="shared" si="34"/>
        <v>0</v>
      </c>
      <c r="H135" s="309">
        <f>'CONTAINER HANDLERS FAULTS'!O47</f>
        <v>0</v>
      </c>
      <c r="I135" s="310">
        <f t="shared" si="41"/>
        <v>0</v>
      </c>
      <c r="J135" s="311">
        <f t="shared" si="48"/>
        <v>0</v>
      </c>
      <c r="K135" s="312">
        <f t="shared" si="49"/>
        <v>1440.0000000000091</v>
      </c>
      <c r="L135" s="313">
        <f t="shared" si="44"/>
        <v>100</v>
      </c>
      <c r="M135" s="350">
        <f>'CONTAINER HANDLERS FAULTS'!P47</f>
        <v>0</v>
      </c>
      <c r="N135" s="309">
        <f t="shared" si="47"/>
        <v>0.99999999999999367</v>
      </c>
      <c r="O135" s="314" t="e">
        <f t="shared" si="46"/>
        <v>#DIV/0!</v>
      </c>
      <c r="P135" s="359"/>
      <c r="Q135" s="370"/>
      <c r="R135" s="370"/>
      <c r="S135" s="779" t="str">
        <f>CONCATENATE("ECH29: ",'CONTAINER HANDLERS FAULTS'!B47,"_",'CONTAINER HANDLERS FAULTS'!G47,"_",'CONTAINER HANDLERS FAULTS'!K47)</f>
        <v>ECH29: NIL_NIL_NIL</v>
      </c>
      <c r="T135" s="780"/>
      <c r="U135" s="780"/>
      <c r="V135" s="780"/>
      <c r="W135" s="780"/>
      <c r="X135" s="780"/>
      <c r="Y135" s="780"/>
      <c r="Z135" s="781"/>
    </row>
    <row r="136" spans="1:27" s="226" customFormat="1" ht="68.25" customHeight="1">
      <c r="A136" s="354"/>
      <c r="B136" s="364"/>
      <c r="C136" s="352"/>
      <c r="D136" s="231"/>
      <c r="E136" s="231"/>
      <c r="F136" s="348"/>
      <c r="G136" s="309">
        <f t="shared" si="34"/>
        <v>0</v>
      </c>
      <c r="H136" s="309">
        <f>'CONTAINER HANDLERS FAULTS'!O48</f>
        <v>0</v>
      </c>
      <c r="I136" s="310"/>
      <c r="J136" s="311"/>
      <c r="K136" s="312"/>
      <c r="L136" s="313">
        <f t="shared" si="44"/>
        <v>100</v>
      </c>
      <c r="M136" s="350">
        <f>'CONTAINER HANDLERS FAULTS'!P52</f>
        <v>0</v>
      </c>
      <c r="N136" s="309">
        <f t="shared" si="47"/>
        <v>0.99999999999999367</v>
      </c>
      <c r="O136" s="309" t="e">
        <f t="shared" si="46"/>
        <v>#DIV/0!</v>
      </c>
      <c r="P136" s="370"/>
      <c r="Q136" s="370"/>
      <c r="R136" s="370"/>
      <c r="S136" s="779" t="str">
        <f>CONCATENATE("ECH30: ",'CONTAINER HANDLERS FAULTS'!B48,"_",'CONTAINER HANDLERS FAULTS'!G48,"_",'CONTAINER HANDLERS FAULTS'!K48)</f>
        <v>ECH30: NIL_NIL_NIL</v>
      </c>
      <c r="T136" s="780"/>
      <c r="U136" s="780"/>
      <c r="V136" s="780"/>
      <c r="W136" s="780"/>
      <c r="X136" s="780"/>
      <c r="Y136" s="780"/>
      <c r="Z136" s="781"/>
    </row>
    <row r="137" spans="1:27" s="226" customFormat="1" ht="68.25" customHeight="1">
      <c r="A137" s="354"/>
      <c r="B137" s="364"/>
      <c r="C137" s="352"/>
      <c r="D137" s="231"/>
      <c r="E137" s="231"/>
      <c r="F137" s="348"/>
      <c r="G137" s="309">
        <f t="shared" si="34"/>
        <v>0</v>
      </c>
      <c r="H137" s="309">
        <f>'CONTAINER HANDLERS FAULTS'!O49</f>
        <v>0</v>
      </c>
      <c r="I137" s="310"/>
      <c r="J137" s="311"/>
      <c r="K137" s="312"/>
      <c r="L137" s="313">
        <f t="shared" si="44"/>
        <v>100</v>
      </c>
      <c r="M137" s="350">
        <f>'CONTAINER HANDLERS FAULTS'!P53</f>
        <v>0</v>
      </c>
      <c r="N137" s="309">
        <f t="shared" si="47"/>
        <v>0.99999999999999367</v>
      </c>
      <c r="O137" s="309" t="e">
        <f t="shared" si="46"/>
        <v>#DIV/0!</v>
      </c>
      <c r="P137" s="370"/>
      <c r="Q137" s="370"/>
      <c r="R137" s="370"/>
      <c r="S137" s="779" t="str">
        <f>CONCATENATE("ECH31: ",'CONTAINER HANDLERS FAULTS'!B49,"_",'CONTAINER HANDLERS FAULTS'!G49,"_",'CONTAINER HANDLERS FAULTS'!K49)</f>
        <v>ECH31: NIL_NIL_NIL</v>
      </c>
      <c r="T137" s="780"/>
      <c r="U137" s="780"/>
      <c r="V137" s="780"/>
      <c r="W137" s="780"/>
      <c r="X137" s="780"/>
      <c r="Y137" s="780"/>
      <c r="Z137" s="781"/>
    </row>
    <row r="138" spans="1:27" s="226" customFormat="1" ht="68.25" customHeight="1">
      <c r="A138" s="354"/>
      <c r="B138" s="364"/>
      <c r="C138" s="352"/>
      <c r="D138" s="231"/>
      <c r="E138" s="231"/>
      <c r="F138" s="348"/>
      <c r="G138" s="309">
        <f t="shared" si="34"/>
        <v>0</v>
      </c>
      <c r="H138" s="309">
        <f>'CONTAINER HANDLERS FAULTS'!O50</f>
        <v>0</v>
      </c>
      <c r="I138" s="310"/>
      <c r="J138" s="311"/>
      <c r="K138" s="312"/>
      <c r="L138" s="313">
        <f t="shared" si="44"/>
        <v>100</v>
      </c>
      <c r="M138" s="350">
        <f>'CONTAINER HANDLERS FAULTS'!P54</f>
        <v>0</v>
      </c>
      <c r="N138" s="309">
        <f t="shared" si="47"/>
        <v>0.99999999999999367</v>
      </c>
      <c r="O138" s="309" t="e">
        <f t="shared" si="46"/>
        <v>#DIV/0!</v>
      </c>
      <c r="P138" s="370"/>
      <c r="Q138" s="370"/>
      <c r="R138" s="370"/>
      <c r="S138" s="779" t="str">
        <f>CONCATENATE("ECH32: ",'CONTAINER HANDLERS FAULTS'!B50,"_",'CONTAINER HANDLERS FAULTS'!G50,"_",'CONTAINER HANDLERS FAULTS'!K50)</f>
        <v>ECH32: NIL_NIL_NIL</v>
      </c>
      <c r="T138" s="780"/>
      <c r="U138" s="780"/>
      <c r="V138" s="780"/>
      <c r="W138" s="780"/>
      <c r="X138" s="780"/>
      <c r="Y138" s="780"/>
      <c r="Z138" s="781"/>
    </row>
    <row r="139" spans="1:27" s="226" customFormat="1" ht="68.25" customHeight="1">
      <c r="A139" s="508"/>
      <c r="B139" s="509"/>
      <c r="C139" s="510"/>
      <c r="D139" s="231"/>
      <c r="E139" s="231"/>
      <c r="F139" s="348"/>
      <c r="G139" s="309">
        <f t="shared" si="34"/>
        <v>0</v>
      </c>
      <c r="H139" s="309">
        <f>'CONTAINER HANDLERS FAULTS'!O51</f>
        <v>0</v>
      </c>
      <c r="I139" s="310"/>
      <c r="J139" s="311"/>
      <c r="K139" s="312"/>
      <c r="L139" s="313">
        <f t="shared" si="44"/>
        <v>100</v>
      </c>
      <c r="M139" s="350">
        <f>'CONTAINER HANDLERS FAULTS'!P55</f>
        <v>0</v>
      </c>
      <c r="N139" s="309">
        <f t="shared" si="47"/>
        <v>0.99999999999999367</v>
      </c>
      <c r="O139" s="309" t="e">
        <f t="shared" si="46"/>
        <v>#DIV/0!</v>
      </c>
      <c r="P139" s="370"/>
      <c r="Q139" s="370"/>
      <c r="R139" s="370"/>
      <c r="S139" s="779" t="str">
        <f>CONCATENATE("ECH33: ",'CONTAINER HANDLERS FAULTS'!B51,"_",'CONTAINER HANDLERS FAULTS'!G51,"_",'CONTAINER HANDLERS FAULTS'!K51)</f>
        <v>ECH33: NIL_NIL_NIL</v>
      </c>
      <c r="T139" s="780"/>
      <c r="U139" s="780"/>
      <c r="V139" s="780"/>
      <c r="W139" s="780"/>
      <c r="X139" s="780"/>
      <c r="Y139" s="780"/>
      <c r="Z139" s="781"/>
    </row>
    <row r="140" spans="1:27" s="226" customFormat="1" ht="63.75" customHeight="1" thickBot="1">
      <c r="A140" s="747" t="s">
        <v>29</v>
      </c>
      <c r="B140" s="748"/>
      <c r="C140" s="749"/>
      <c r="D140" s="330">
        <v>116</v>
      </c>
      <c r="E140" s="589">
        <f>'TERMINAL TRACTORS'!M6</f>
        <v>85</v>
      </c>
      <c r="F140" s="355">
        <v>100</v>
      </c>
      <c r="G140" s="309">
        <f>SUM(G119:G139)</f>
        <v>422.70833333333331</v>
      </c>
      <c r="H140" s="855" t="s">
        <v>28</v>
      </c>
      <c r="I140" s="822"/>
      <c r="J140" s="822"/>
      <c r="K140" s="822"/>
      <c r="L140" s="822"/>
      <c r="M140" s="822"/>
      <c r="N140" s="822"/>
      <c r="O140" s="822"/>
      <c r="P140" s="331"/>
      <c r="Q140" s="331"/>
      <c r="R140" s="331"/>
      <c r="S140" s="331"/>
      <c r="T140" s="331"/>
      <c r="U140" s="331"/>
      <c r="V140" s="331"/>
      <c r="W140" s="331"/>
      <c r="X140" s="331"/>
      <c r="Y140" s="331"/>
      <c r="Z140" s="332"/>
    </row>
    <row r="141" spans="1:27" s="226" customFormat="1" ht="63.75" customHeight="1" thickBot="1">
      <c r="A141" s="484"/>
      <c r="B141" s="484"/>
      <c r="C141" s="227"/>
      <c r="D141" s="145" t="s">
        <v>118</v>
      </c>
      <c r="E141" s="863">
        <f>AA141</f>
        <v>74.985632183907896</v>
      </c>
      <c r="F141" s="348"/>
      <c r="G141" s="309">
        <f t="shared" si="34"/>
        <v>60</v>
      </c>
      <c r="H141" s="309">
        <f>'TERMINAL TRACTORS'!M9</f>
        <v>1</v>
      </c>
      <c r="I141" s="310">
        <f t="shared" ref="I141:I200" si="50">H141</f>
        <v>1</v>
      </c>
      <c r="J141" s="311">
        <f t="shared" ref="J141:J153" si="51">I141/0.00069444444444444</f>
        <v>1440.0000000000091</v>
      </c>
      <c r="K141" s="312">
        <f t="shared" ref="K141:K153" si="52">(1-I141)/0.00069444444444444</f>
        <v>0</v>
      </c>
      <c r="L141" s="313">
        <f t="shared" ref="L141:L203" si="53">((1440-(J141))/1440)*100</f>
        <v>-6.3159354289786681E-13</v>
      </c>
      <c r="M141" s="350">
        <f>'TERMINAL TRACTORS'!N9</f>
        <v>0</v>
      </c>
      <c r="N141" s="309">
        <f t="shared" ref="N141:N166" si="54">((1440-J141)/(M141+1))*0.00069444444444444</f>
        <v>-6.3159354289786285E-15</v>
      </c>
      <c r="O141" s="314" t="e">
        <f t="shared" ref="O141:O166" si="55">((1440-K141)/(M141))*0.00069444444444444</f>
        <v>#DIV/0!</v>
      </c>
      <c r="P141" s="227">
        <f>AVERAGE(L141:L256)</f>
        <v>73.51532567049793</v>
      </c>
      <c r="Q141" s="315">
        <f>AVERAGEIF(N141:N236,"&gt;0",N141:N236)</f>
        <v>0.96818444865319186</v>
      </c>
      <c r="R141" s="316">
        <f>AVERAGEIF(O141:O236,"&gt;0",O141:O236)</f>
        <v>0.23070987654320493</v>
      </c>
      <c r="S141" s="779" t="str">
        <f>CONCATENATE("MRTT108: ",'TERMINAL TRACTORS'!B9,"_",'TERMINAL TRACTORS'!F9,"_",'TERMINAL TRACTORS'!J9)</f>
        <v>MRTT108: BRAKES -OUT_OUT_OUT</v>
      </c>
      <c r="T141" s="780"/>
      <c r="U141" s="780"/>
      <c r="V141" s="780"/>
      <c r="W141" s="780"/>
      <c r="X141" s="780"/>
      <c r="Y141" s="780"/>
      <c r="Z141" s="781"/>
      <c r="AA141" s="302">
        <f>P141/100*102</f>
        <v>74.985632183907896</v>
      </c>
    </row>
    <row r="142" spans="1:27" s="226" customFormat="1" ht="63.75" customHeight="1">
      <c r="A142" s="484"/>
      <c r="B142" s="484"/>
      <c r="C142" s="485"/>
      <c r="D142" s="231"/>
      <c r="E142" s="864"/>
      <c r="F142" s="348"/>
      <c r="G142" s="309">
        <f t="shared" si="34"/>
        <v>60</v>
      </c>
      <c r="H142" s="309">
        <f>'TERMINAL TRACTORS'!M10</f>
        <v>1</v>
      </c>
      <c r="I142" s="310">
        <f t="shared" si="50"/>
        <v>1</v>
      </c>
      <c r="J142" s="311">
        <f t="shared" si="51"/>
        <v>1440.0000000000091</v>
      </c>
      <c r="K142" s="312">
        <f t="shared" si="52"/>
        <v>0</v>
      </c>
      <c r="L142" s="313">
        <f t="shared" si="53"/>
        <v>-6.3159354289786681E-13</v>
      </c>
      <c r="M142" s="350">
        <f>'TERMINAL TRACTORS'!N10</f>
        <v>0</v>
      </c>
      <c r="N142" s="309">
        <f t="shared" si="54"/>
        <v>-6.3159354289786285E-15</v>
      </c>
      <c r="O142" s="314" t="e">
        <f t="shared" si="55"/>
        <v>#DIV/0!</v>
      </c>
      <c r="P142" s="228">
        <v>90</v>
      </c>
      <c r="Q142" s="229">
        <v>0.85</v>
      </c>
      <c r="R142" s="229">
        <v>3.125E-2</v>
      </c>
      <c r="S142" s="779" t="str">
        <f>CONCATENATE("MRTT109: ",'TERMINAL TRACTORS'!B10,"_",'TERMINAL TRACTORS'!F10,"_",'TERMINAL TRACTORS'!J10)</f>
        <v>MRTT109: 24V SHORT CIRCUIT -OUT_OUT_OUT</v>
      </c>
      <c r="T142" s="780"/>
      <c r="U142" s="780"/>
      <c r="V142" s="780"/>
      <c r="W142" s="780"/>
      <c r="X142" s="780"/>
      <c r="Y142" s="780"/>
      <c r="Z142" s="781"/>
    </row>
    <row r="143" spans="1:27" s="226" customFormat="1" ht="63.75" customHeight="1">
      <c r="A143" s="484"/>
      <c r="B143" s="484"/>
      <c r="C143" s="485"/>
      <c r="D143" s="231"/>
      <c r="E143" s="231"/>
      <c r="F143" s="348"/>
      <c r="G143" s="309">
        <f t="shared" si="34"/>
        <v>60</v>
      </c>
      <c r="H143" s="309">
        <f>'TERMINAL TRACTORS'!M11</f>
        <v>1</v>
      </c>
      <c r="I143" s="310">
        <f t="shared" si="50"/>
        <v>1</v>
      </c>
      <c r="J143" s="311">
        <f t="shared" si="51"/>
        <v>1440.0000000000091</v>
      </c>
      <c r="K143" s="312">
        <f t="shared" si="52"/>
        <v>0</v>
      </c>
      <c r="L143" s="313">
        <f t="shared" si="53"/>
        <v>-6.3159354289786681E-13</v>
      </c>
      <c r="M143" s="350">
        <f>'TERMINAL TRACTORS'!N11</f>
        <v>0</v>
      </c>
      <c r="N143" s="309">
        <f t="shared" si="54"/>
        <v>-6.3159354289786285E-15</v>
      </c>
      <c r="O143" s="314"/>
      <c r="P143" s="359"/>
      <c r="Q143" s="370"/>
      <c r="R143" s="358"/>
      <c r="S143" s="779" t="str">
        <f>CONCATENATE("MRTT110: ",'TERMINAL TRACTORS'!B11,"_",'TERMINAL TRACTORS'!F11,"_",'TERMINAL TRACTORS'!J11)</f>
        <v>MRTT110: BRAKES -OUT_OUT_OUT</v>
      </c>
      <c r="T143" s="780"/>
      <c r="U143" s="780"/>
      <c r="V143" s="780"/>
      <c r="W143" s="780"/>
      <c r="X143" s="780"/>
      <c r="Y143" s="780"/>
      <c r="Z143" s="781"/>
    </row>
    <row r="144" spans="1:27" s="226" customFormat="1" ht="63.75" customHeight="1">
      <c r="A144" s="484"/>
      <c r="B144" s="484"/>
      <c r="C144" s="485"/>
      <c r="D144" s="231"/>
      <c r="E144" s="231"/>
      <c r="F144" s="348"/>
      <c r="G144" s="309">
        <f t="shared" si="34"/>
        <v>0</v>
      </c>
      <c r="H144" s="309">
        <f>'TERMINAL TRACTORS'!M12</f>
        <v>0</v>
      </c>
      <c r="I144" s="310">
        <f t="shared" si="50"/>
        <v>0</v>
      </c>
      <c r="J144" s="311">
        <f t="shared" si="51"/>
        <v>0</v>
      </c>
      <c r="K144" s="312">
        <f t="shared" si="52"/>
        <v>1440.0000000000091</v>
      </c>
      <c r="L144" s="313">
        <f t="shared" si="53"/>
        <v>100</v>
      </c>
      <c r="M144" s="350">
        <f>'TERMINAL TRACTORS'!N12</f>
        <v>0</v>
      </c>
      <c r="N144" s="309">
        <f t="shared" si="54"/>
        <v>0.99999999999999367</v>
      </c>
      <c r="O144" s="314"/>
      <c r="P144" s="359"/>
      <c r="Q144" s="370"/>
      <c r="R144" s="358"/>
      <c r="S144" s="779" t="str">
        <f>CONCATENATE("MRTT111: ",'TERMINAL TRACTORS'!B12,"_",'TERMINAL TRACTORS'!F12,"_",'TERMINAL TRACTORS'!J12)</f>
        <v>MRTT111: NIL_NIL_NIL</v>
      </c>
      <c r="T144" s="780"/>
      <c r="U144" s="780"/>
      <c r="V144" s="780"/>
      <c r="W144" s="780"/>
      <c r="X144" s="780"/>
      <c r="Y144" s="780"/>
      <c r="Z144" s="781"/>
    </row>
    <row r="145" spans="1:26" s="226" customFormat="1" ht="63.75" customHeight="1">
      <c r="A145" s="484"/>
      <c r="B145" s="484"/>
      <c r="C145" s="485"/>
      <c r="D145" s="231"/>
      <c r="E145" s="231"/>
      <c r="F145" s="348"/>
      <c r="G145" s="309">
        <f t="shared" si="34"/>
        <v>60</v>
      </c>
      <c r="H145" s="309">
        <f>'TERMINAL TRACTORS'!M13</f>
        <v>1</v>
      </c>
      <c r="I145" s="310">
        <f t="shared" si="50"/>
        <v>1</v>
      </c>
      <c r="J145" s="311">
        <f t="shared" si="51"/>
        <v>1440.0000000000091</v>
      </c>
      <c r="K145" s="312">
        <f t="shared" si="52"/>
        <v>0</v>
      </c>
      <c r="L145" s="313">
        <f t="shared" si="53"/>
        <v>-6.3159354289786681E-13</v>
      </c>
      <c r="M145" s="350">
        <f>'TERMINAL TRACTORS'!N13</f>
        <v>0</v>
      </c>
      <c r="N145" s="309">
        <f t="shared" si="54"/>
        <v>-6.3159354289786285E-15</v>
      </c>
      <c r="O145" s="314" t="e">
        <f t="shared" si="55"/>
        <v>#DIV/0!</v>
      </c>
      <c r="P145" s="359"/>
      <c r="Q145" s="370"/>
      <c r="R145" s="358"/>
      <c r="S145" s="779" t="str">
        <f>CONCATENATE("MRTT113: ",'TERMINAL TRACTORS'!B13,"_",'TERMINAL TRACTORS'!F13,"_",'TERMINAL TRACTORS'!J13)</f>
        <v>MRTT113: FLY WHEEL RING GEAR FAULT-OUT_OUT_OUT</v>
      </c>
      <c r="T145" s="780"/>
      <c r="U145" s="780"/>
      <c r="V145" s="780"/>
      <c r="W145" s="780"/>
      <c r="X145" s="780"/>
      <c r="Y145" s="780"/>
      <c r="Z145" s="781"/>
    </row>
    <row r="146" spans="1:26" s="226" customFormat="1" ht="63.75" customHeight="1">
      <c r="A146" s="484"/>
      <c r="B146" s="484"/>
      <c r="C146" s="485"/>
      <c r="D146" s="349"/>
      <c r="E146" s="231"/>
      <c r="F146" s="348"/>
      <c r="G146" s="309">
        <f t="shared" si="34"/>
        <v>60</v>
      </c>
      <c r="H146" s="309">
        <f>'TERMINAL TRACTORS'!M14</f>
        <v>1</v>
      </c>
      <c r="I146" s="310">
        <f t="shared" si="50"/>
        <v>1</v>
      </c>
      <c r="J146" s="311">
        <f t="shared" si="51"/>
        <v>1440.0000000000091</v>
      </c>
      <c r="K146" s="312">
        <f t="shared" si="52"/>
        <v>0</v>
      </c>
      <c r="L146" s="313">
        <f t="shared" si="53"/>
        <v>-6.3159354289786681E-13</v>
      </c>
      <c r="M146" s="350">
        <f>'TERMINAL TRACTORS'!N14</f>
        <v>0</v>
      </c>
      <c r="N146" s="309">
        <f t="shared" si="54"/>
        <v>-6.3159354289786285E-15</v>
      </c>
      <c r="O146" s="314" t="e">
        <f t="shared" si="55"/>
        <v>#DIV/0!</v>
      </c>
      <c r="P146" s="359"/>
      <c r="Q146" s="370"/>
      <c r="R146" s="358"/>
      <c r="S146" s="779" t="str">
        <f>CONCATENATE("MRTT114: ",'TERMINAL TRACTORS'!B14,"_",'TERMINAL TRACTORS'!F14,"_",'TERMINAL TRACTORS'!J14)</f>
        <v>MRTT114: ACCIDENT-OUT_OUT_OUT</v>
      </c>
      <c r="T146" s="780"/>
      <c r="U146" s="780"/>
      <c r="V146" s="780"/>
      <c r="W146" s="780"/>
      <c r="X146" s="780"/>
      <c r="Y146" s="780"/>
      <c r="Z146" s="781"/>
    </row>
    <row r="147" spans="1:26" s="226" customFormat="1" ht="63.75" customHeight="1">
      <c r="A147" s="484"/>
      <c r="B147" s="484"/>
      <c r="C147" s="485"/>
      <c r="D147" s="349"/>
      <c r="E147" s="231"/>
      <c r="F147" s="348"/>
      <c r="G147" s="309">
        <f t="shared" si="34"/>
        <v>60</v>
      </c>
      <c r="H147" s="309">
        <f>'TERMINAL TRACTORS'!M15</f>
        <v>1</v>
      </c>
      <c r="I147" s="310">
        <f t="shared" si="50"/>
        <v>1</v>
      </c>
      <c r="J147" s="311">
        <f t="shared" si="51"/>
        <v>1440.0000000000091</v>
      </c>
      <c r="K147" s="312">
        <f t="shared" si="52"/>
        <v>0</v>
      </c>
      <c r="L147" s="313">
        <f t="shared" si="53"/>
        <v>-6.3159354289786681E-13</v>
      </c>
      <c r="M147" s="350">
        <f>'TERMINAL TRACTORS'!N15</f>
        <v>0</v>
      </c>
      <c r="N147" s="309">
        <f t="shared" si="54"/>
        <v>-6.3159354289786285E-15</v>
      </c>
      <c r="O147" s="314" t="e">
        <f t="shared" si="55"/>
        <v>#DIV/0!</v>
      </c>
      <c r="P147" s="359"/>
      <c r="Q147" s="370"/>
      <c r="R147" s="358"/>
      <c r="S147" s="779" t="str">
        <f>CONCATENATE("MRTT116: ",'TERMINAL TRACTORS'!B15,"_",'TERMINAL TRACTORS'!F15,"_",'TERMINAL TRACTORS'!J15)</f>
        <v>MRTT116: 5TH WHEEL -OUT_OUT_OUT</v>
      </c>
      <c r="T147" s="780"/>
      <c r="U147" s="780"/>
      <c r="V147" s="780"/>
      <c r="W147" s="780"/>
      <c r="X147" s="780"/>
      <c r="Y147" s="780"/>
      <c r="Z147" s="781"/>
    </row>
    <row r="148" spans="1:26" s="226" customFormat="1" ht="63.75" customHeight="1">
      <c r="A148" s="484"/>
      <c r="B148" s="484"/>
      <c r="C148" s="485"/>
      <c r="D148" s="349"/>
      <c r="E148" s="231"/>
      <c r="F148" s="348"/>
      <c r="G148" s="309">
        <f t="shared" si="34"/>
        <v>39.375</v>
      </c>
      <c r="H148" s="309">
        <f>'TERMINAL TRACTORS'!M16</f>
        <v>0.65625</v>
      </c>
      <c r="I148" s="310">
        <f t="shared" si="50"/>
        <v>0.65625</v>
      </c>
      <c r="J148" s="311">
        <f t="shared" si="51"/>
        <v>945.00000000000603</v>
      </c>
      <c r="K148" s="312">
        <f t="shared" si="52"/>
        <v>495.00000000000313</v>
      </c>
      <c r="L148" s="313">
        <f t="shared" si="53"/>
        <v>34.374999999999581</v>
      </c>
      <c r="M148" s="350">
        <f>'TERMINAL TRACTORS'!N16</f>
        <v>1</v>
      </c>
      <c r="N148" s="309">
        <f t="shared" si="54"/>
        <v>0.17187499999999681</v>
      </c>
      <c r="O148" s="314">
        <f t="shared" si="55"/>
        <v>0.65624999999999356</v>
      </c>
      <c r="P148" s="359"/>
      <c r="Q148" s="370"/>
      <c r="R148" s="358"/>
      <c r="S148" s="779" t="str">
        <f>CONCATENATE("MRTT118: ",'TERMINAL TRACTORS'!B16,"_",'TERMINAL TRACTORS'!F16,"_",'TERMINAL TRACTORS'!J16)</f>
        <v>MRTT118: NIL_STEERING HYDRAULIC OIL PIPE LEAKAGE.OUT AT 1515HRS_OUT</v>
      </c>
      <c r="T148" s="780"/>
      <c r="U148" s="780"/>
      <c r="V148" s="780"/>
      <c r="W148" s="780"/>
      <c r="X148" s="780"/>
      <c r="Y148" s="780"/>
      <c r="Z148" s="781"/>
    </row>
    <row r="149" spans="1:26" s="226" customFormat="1" ht="63.75" customHeight="1">
      <c r="A149" s="484"/>
      <c r="B149" s="484"/>
      <c r="C149" s="485"/>
      <c r="D149" s="349"/>
      <c r="E149" s="231"/>
      <c r="F149" s="348"/>
      <c r="G149" s="309">
        <f t="shared" si="34"/>
        <v>60</v>
      </c>
      <c r="H149" s="309">
        <f>'TERMINAL TRACTORS'!M17</f>
        <v>1</v>
      </c>
      <c r="I149" s="310">
        <f t="shared" si="50"/>
        <v>1</v>
      </c>
      <c r="J149" s="311">
        <f t="shared" si="51"/>
        <v>1440.0000000000091</v>
      </c>
      <c r="K149" s="312">
        <f t="shared" si="52"/>
        <v>0</v>
      </c>
      <c r="L149" s="313">
        <f t="shared" si="53"/>
        <v>-6.3159354289786681E-13</v>
      </c>
      <c r="M149" s="350">
        <f>'TERMINAL TRACTORS'!N17</f>
        <v>0</v>
      </c>
      <c r="N149" s="309">
        <f t="shared" si="54"/>
        <v>-6.3159354289786285E-15</v>
      </c>
      <c r="O149" s="314" t="e">
        <f t="shared" si="55"/>
        <v>#DIV/0!</v>
      </c>
      <c r="P149" s="359"/>
      <c r="Q149" s="370"/>
      <c r="R149" s="358"/>
      <c r="S149" s="779" t="str">
        <f>CONCATENATE("MRTT121: ",'TERMINAL TRACTORS'!B17,"_",'TERMINAL TRACTORS'!F17,"_",'TERMINAL TRACTORS'!J17)</f>
        <v>MRTT121: FLY WHEEL RING GEAR FAULT- OUT _OUT_OUT</v>
      </c>
      <c r="T149" s="780"/>
      <c r="U149" s="780"/>
      <c r="V149" s="780"/>
      <c r="W149" s="780"/>
      <c r="X149" s="780"/>
      <c r="Y149" s="780"/>
      <c r="Z149" s="781"/>
    </row>
    <row r="150" spans="1:26" s="226" customFormat="1" ht="63.75" customHeight="1">
      <c r="A150" s="484"/>
      <c r="B150" s="484"/>
      <c r="C150" s="485"/>
      <c r="D150" s="349"/>
      <c r="E150" s="231"/>
      <c r="F150" s="348"/>
      <c r="G150" s="309">
        <f t="shared" si="34"/>
        <v>60</v>
      </c>
      <c r="H150" s="309">
        <f>'TERMINAL TRACTORS'!M18</f>
        <v>1</v>
      </c>
      <c r="I150" s="310">
        <f t="shared" si="50"/>
        <v>1</v>
      </c>
      <c r="J150" s="311">
        <f t="shared" si="51"/>
        <v>1440.0000000000091</v>
      </c>
      <c r="K150" s="312">
        <f t="shared" si="52"/>
        <v>0</v>
      </c>
      <c r="L150" s="313">
        <f t="shared" si="53"/>
        <v>-6.3159354289786681E-13</v>
      </c>
      <c r="M150" s="350">
        <f>'TERMINAL TRACTORS'!N18</f>
        <v>0</v>
      </c>
      <c r="N150" s="309">
        <f t="shared" si="54"/>
        <v>-6.3159354289786285E-15</v>
      </c>
      <c r="O150" s="314" t="e">
        <f t="shared" si="55"/>
        <v>#DIV/0!</v>
      </c>
      <c r="P150" s="359"/>
      <c r="Q150" s="370"/>
      <c r="R150" s="358"/>
      <c r="S150" s="779" t="str">
        <f>CONCATENATE("MRTT122: ",'TERMINAL TRACTORS'!B18,"_",'TERMINAL TRACTORS'!F18,"_",'TERMINAL TRACTORS'!J18)</f>
        <v>MRTT122: STEERING LOCK -OUT_OUT_OUT</v>
      </c>
      <c r="T150" s="780"/>
      <c r="U150" s="780"/>
      <c r="V150" s="780"/>
      <c r="W150" s="780"/>
      <c r="X150" s="780"/>
      <c r="Y150" s="780"/>
      <c r="Z150" s="781"/>
    </row>
    <row r="151" spans="1:26" s="226" customFormat="1" ht="63.75" customHeight="1">
      <c r="A151" s="484"/>
      <c r="B151" s="484"/>
      <c r="C151" s="485"/>
      <c r="D151" s="349"/>
      <c r="E151" s="231"/>
      <c r="F151" s="348"/>
      <c r="G151" s="309">
        <f t="shared" si="34"/>
        <v>60</v>
      </c>
      <c r="H151" s="309">
        <f>'TERMINAL TRACTORS'!M19</f>
        <v>1</v>
      </c>
      <c r="I151" s="310">
        <f t="shared" si="50"/>
        <v>1</v>
      </c>
      <c r="J151" s="311">
        <f t="shared" si="51"/>
        <v>1440.0000000000091</v>
      </c>
      <c r="K151" s="312">
        <f t="shared" si="52"/>
        <v>0</v>
      </c>
      <c r="L151" s="313">
        <f t="shared" si="53"/>
        <v>-6.3159354289786681E-13</v>
      </c>
      <c r="M151" s="350">
        <f>'TERMINAL TRACTORS'!N19</f>
        <v>0</v>
      </c>
      <c r="N151" s="309">
        <f t="shared" si="54"/>
        <v>-6.3159354289786285E-15</v>
      </c>
      <c r="O151" s="314" t="e">
        <f t="shared" si="55"/>
        <v>#DIV/0!</v>
      </c>
      <c r="P151" s="359"/>
      <c r="Q151" s="370"/>
      <c r="R151" s="358"/>
      <c r="S151" s="779" t="str">
        <f>CONCATENATE("MRTT123: ",'TERMINAL TRACTORS'!B19,"_",'TERMINAL TRACTORS'!F19,"_",'TERMINAL TRACTORS'!J19)</f>
        <v>MRTT123: FAULTY REAR BRAKES - OUT_OUT_OUT</v>
      </c>
      <c r="T151" s="780"/>
      <c r="U151" s="780"/>
      <c r="V151" s="780"/>
      <c r="W151" s="780"/>
      <c r="X151" s="780"/>
      <c r="Y151" s="780"/>
      <c r="Z151" s="781"/>
    </row>
    <row r="152" spans="1:26" s="226" customFormat="1" ht="63.75" customHeight="1">
      <c r="A152" s="484"/>
      <c r="B152" s="484"/>
      <c r="C152" s="485"/>
      <c r="D152" s="349"/>
      <c r="E152" s="231"/>
      <c r="F152" s="348"/>
      <c r="G152" s="309">
        <f t="shared" si="34"/>
        <v>60</v>
      </c>
      <c r="H152" s="309">
        <f>'TERMINAL TRACTORS'!M20</f>
        <v>1</v>
      </c>
      <c r="I152" s="310">
        <f t="shared" si="50"/>
        <v>1</v>
      </c>
      <c r="J152" s="311">
        <f t="shared" si="51"/>
        <v>1440.0000000000091</v>
      </c>
      <c r="K152" s="312">
        <f t="shared" si="52"/>
        <v>0</v>
      </c>
      <c r="L152" s="313">
        <f t="shared" si="53"/>
        <v>-6.3159354289786681E-13</v>
      </c>
      <c r="M152" s="350">
        <f>'TERMINAL TRACTORS'!N20</f>
        <v>0</v>
      </c>
      <c r="N152" s="309">
        <f t="shared" si="54"/>
        <v>-6.3159354289786285E-15</v>
      </c>
      <c r="O152" s="314" t="e">
        <f t="shared" si="55"/>
        <v>#DIV/0!</v>
      </c>
      <c r="P152" s="359"/>
      <c r="Q152" s="370"/>
      <c r="R152" s="358"/>
      <c r="S152" s="779" t="str">
        <f>CONCATENATE("MRTT124: ",'TERMINAL TRACTORS'!B20,"_",'TERMINAL TRACTORS'!F20,"_",'TERMINAL TRACTORS'!J20)</f>
        <v>MRTT124: FLY WHEEL RING GEAR FAULT- OUT_OUT_OUT</v>
      </c>
      <c r="T152" s="780"/>
      <c r="U152" s="780"/>
      <c r="V152" s="780"/>
      <c r="W152" s="780"/>
      <c r="X152" s="780"/>
      <c r="Y152" s="780"/>
      <c r="Z152" s="781"/>
    </row>
    <row r="153" spans="1:26" s="226" customFormat="1" ht="63.75" customHeight="1">
      <c r="A153" s="484"/>
      <c r="B153" s="484"/>
      <c r="C153" s="485"/>
      <c r="D153" s="349"/>
      <c r="E153" s="231"/>
      <c r="F153" s="348"/>
      <c r="G153" s="309">
        <f t="shared" si="34"/>
        <v>60</v>
      </c>
      <c r="H153" s="309">
        <f>'TERMINAL TRACTORS'!M21</f>
        <v>1</v>
      </c>
      <c r="I153" s="310">
        <f t="shared" si="50"/>
        <v>1</v>
      </c>
      <c r="J153" s="311">
        <f t="shared" si="51"/>
        <v>1440.0000000000091</v>
      </c>
      <c r="K153" s="312">
        <f t="shared" si="52"/>
        <v>0</v>
      </c>
      <c r="L153" s="313">
        <f t="shared" si="53"/>
        <v>-6.3159354289786681E-13</v>
      </c>
      <c r="M153" s="350">
        <f>'TERMINAL TRACTORS'!N21</f>
        <v>0</v>
      </c>
      <c r="N153" s="309">
        <f t="shared" si="54"/>
        <v>-6.3159354289786285E-15</v>
      </c>
      <c r="O153" s="314" t="e">
        <f t="shared" si="55"/>
        <v>#DIV/0!</v>
      </c>
      <c r="P153" s="359"/>
      <c r="Q153" s="370"/>
      <c r="R153" s="358"/>
      <c r="S153" s="779" t="str">
        <f>CONCATENATE("KTT191: ",'TERMINAL TRACTORS'!B21,"_",'TERMINAL TRACTORS'!F21,"_",'TERMINAL TRACTORS'!J21)</f>
        <v>KTT191: FAULTY HYDRAULIC CONTROL VALVE  - OUT_OUT_OUT</v>
      </c>
      <c r="T153" s="780"/>
      <c r="U153" s="780"/>
      <c r="V153" s="780"/>
      <c r="W153" s="780"/>
      <c r="X153" s="780"/>
      <c r="Y153" s="780"/>
      <c r="Z153" s="781"/>
    </row>
    <row r="154" spans="1:26" s="226" customFormat="1" ht="63.75" customHeight="1">
      <c r="A154" s="484"/>
      <c r="B154" s="484"/>
      <c r="C154" s="485"/>
      <c r="D154" s="349"/>
      <c r="E154" s="231"/>
      <c r="F154" s="348"/>
      <c r="G154" s="309">
        <f t="shared" si="34"/>
        <v>0</v>
      </c>
      <c r="H154" s="309">
        <f>'TERMINAL TRACTORS'!M22</f>
        <v>0</v>
      </c>
      <c r="I154" s="310">
        <f t="shared" si="50"/>
        <v>0</v>
      </c>
      <c r="J154" s="311">
        <f t="shared" ref="J154:J174" si="56">I154/0.00069444444444444</f>
        <v>0</v>
      </c>
      <c r="K154" s="312">
        <f t="shared" ref="K154:K174" si="57">(1-I154)/0.00069444444444444</f>
        <v>1440.0000000000091</v>
      </c>
      <c r="L154" s="313">
        <f t="shared" si="53"/>
        <v>100</v>
      </c>
      <c r="M154" s="350">
        <f>'TERMINAL TRACTORS'!N22</f>
        <v>0</v>
      </c>
      <c r="N154" s="309">
        <f t="shared" si="54"/>
        <v>0.99999999999999367</v>
      </c>
      <c r="O154" s="314" t="e">
        <f t="shared" si="55"/>
        <v>#DIV/0!</v>
      </c>
      <c r="P154" s="359"/>
      <c r="Q154" s="370"/>
      <c r="R154" s="358"/>
      <c r="S154" s="779" t="str">
        <f>CONCATENATE("KTT192: ",'TERMINAL TRACTORS'!B22,"_",'TERMINAL TRACTORS'!F22,"_",'TERMINAL TRACTORS'!J22)</f>
        <v>KTT192: NIL_NIL_NIL</v>
      </c>
      <c r="T154" s="780"/>
      <c r="U154" s="780"/>
      <c r="V154" s="780"/>
      <c r="W154" s="780"/>
      <c r="X154" s="780"/>
      <c r="Y154" s="780"/>
      <c r="Z154" s="781"/>
    </row>
    <row r="155" spans="1:26" s="226" customFormat="1" ht="63.75" customHeight="1">
      <c r="A155" s="484"/>
      <c r="B155" s="484"/>
      <c r="C155" s="485"/>
      <c r="D155" s="349"/>
      <c r="E155" s="231"/>
      <c r="F155" s="348"/>
      <c r="G155" s="309">
        <f t="shared" si="34"/>
        <v>60</v>
      </c>
      <c r="H155" s="309">
        <f>'TERMINAL TRACTORS'!M23</f>
        <v>1</v>
      </c>
      <c r="I155" s="310">
        <f t="shared" si="50"/>
        <v>1</v>
      </c>
      <c r="J155" s="311">
        <f t="shared" si="56"/>
        <v>1440.0000000000091</v>
      </c>
      <c r="K155" s="312">
        <f t="shared" si="57"/>
        <v>0</v>
      </c>
      <c r="L155" s="313">
        <f t="shared" si="53"/>
        <v>-6.3159354289786681E-13</v>
      </c>
      <c r="M155" s="350">
        <f>'TERMINAL TRACTORS'!N23</f>
        <v>0</v>
      </c>
      <c r="N155" s="309">
        <f t="shared" si="54"/>
        <v>-6.3159354289786285E-15</v>
      </c>
      <c r="O155" s="314" t="e">
        <f t="shared" si="55"/>
        <v>#DIV/0!</v>
      </c>
      <c r="P155" s="359"/>
      <c r="Q155" s="370"/>
      <c r="R155" s="358"/>
      <c r="S155" s="860" t="str">
        <f>CONCATENATE("KTT193: ",'TERMINAL TRACTORS'!B23,"_",'TERMINAL TRACTORS'!F23,"_",'TERMINAL TRACTORS'!J23)</f>
        <v>KTT193: 5TH WHEEL -OUT_OUT_OUT</v>
      </c>
      <c r="T155" s="861"/>
      <c r="U155" s="861"/>
      <c r="V155" s="861"/>
      <c r="W155" s="861"/>
      <c r="X155" s="861"/>
      <c r="Y155" s="861"/>
      <c r="Z155" s="862"/>
    </row>
    <row r="156" spans="1:26" s="226" customFormat="1" ht="63.6" customHeight="1">
      <c r="A156" s="484"/>
      <c r="B156" s="484"/>
      <c r="C156" s="485"/>
      <c r="D156" s="349"/>
      <c r="E156" s="231"/>
      <c r="F156" s="348"/>
      <c r="G156" s="309">
        <f t="shared" si="34"/>
        <v>60</v>
      </c>
      <c r="H156" s="309">
        <f>'TERMINAL TRACTORS'!M24</f>
        <v>1</v>
      </c>
      <c r="I156" s="310">
        <f t="shared" si="50"/>
        <v>1</v>
      </c>
      <c r="J156" s="311">
        <f t="shared" si="56"/>
        <v>1440.0000000000091</v>
      </c>
      <c r="K156" s="312">
        <f t="shared" si="57"/>
        <v>0</v>
      </c>
      <c r="L156" s="313">
        <f t="shared" si="53"/>
        <v>-6.3159354289786681E-13</v>
      </c>
      <c r="M156" s="350">
        <f>'TERMINAL TRACTORS'!N24</f>
        <v>0</v>
      </c>
      <c r="N156" s="309">
        <f t="shared" si="54"/>
        <v>-6.3159354289786285E-15</v>
      </c>
      <c r="O156" s="314" t="e">
        <f t="shared" si="55"/>
        <v>#DIV/0!</v>
      </c>
      <c r="P156" s="359"/>
      <c r="Q156" s="370"/>
      <c r="R156" s="358"/>
      <c r="S156" s="860" t="str">
        <f>CONCATENATE("KTT194: ",'TERMINAL TRACTORS'!B24,"_",'TERMINAL TRACTORS'!F24,"_",'TERMINAL TRACTORS'!J24)</f>
        <v>KTT194: LEAF SPRING DETACHED-OUT_OUT_OUT</v>
      </c>
      <c r="T156" s="861"/>
      <c r="U156" s="861"/>
      <c r="V156" s="861"/>
      <c r="W156" s="861"/>
      <c r="X156" s="861"/>
      <c r="Y156" s="861"/>
      <c r="Z156" s="862"/>
    </row>
    <row r="157" spans="1:26" s="226" customFormat="1" ht="63.75" customHeight="1">
      <c r="A157" s="484"/>
      <c r="B157" s="484"/>
      <c r="C157" s="485"/>
      <c r="D157" s="349"/>
      <c r="E157" s="231"/>
      <c r="F157" s="348"/>
      <c r="G157" s="309">
        <f t="shared" si="34"/>
        <v>60</v>
      </c>
      <c r="H157" s="309">
        <f>'TERMINAL TRACTORS'!M25</f>
        <v>1</v>
      </c>
      <c r="I157" s="310">
        <f t="shared" si="50"/>
        <v>1</v>
      </c>
      <c r="J157" s="311">
        <f t="shared" si="56"/>
        <v>1440.0000000000091</v>
      </c>
      <c r="K157" s="312">
        <f t="shared" si="57"/>
        <v>0</v>
      </c>
      <c r="L157" s="313">
        <f t="shared" si="53"/>
        <v>-6.3159354289786681E-13</v>
      </c>
      <c r="M157" s="350">
        <f>'TERMINAL TRACTORS'!N25</f>
        <v>0</v>
      </c>
      <c r="N157" s="309">
        <f t="shared" si="54"/>
        <v>-6.3159354289786285E-15</v>
      </c>
      <c r="O157" s="314" t="e">
        <f t="shared" si="55"/>
        <v>#DIV/0!</v>
      </c>
      <c r="P157" s="359"/>
      <c r="Q157" s="370"/>
      <c r="R157" s="358"/>
      <c r="S157" s="860" t="str">
        <f>CONCATENATE("KTT197: ",'TERMINAL TRACTORS'!B25,"_",'TERMINAL TRACTORS'!F25,"_",'TERMINAL TRACTORS'!J25)</f>
        <v>KTT197: FAULTY HYDRAULIC CONTROL VALVE  - OUT_OUT_OUT</v>
      </c>
      <c r="T157" s="861"/>
      <c r="U157" s="861"/>
      <c r="V157" s="861"/>
      <c r="W157" s="861"/>
      <c r="X157" s="861"/>
      <c r="Y157" s="861"/>
      <c r="Z157" s="862"/>
    </row>
    <row r="158" spans="1:26" s="226" customFormat="1" ht="63.75" customHeight="1">
      <c r="A158" s="484"/>
      <c r="B158" s="484"/>
      <c r="C158" s="485"/>
      <c r="D158" s="349"/>
      <c r="E158" s="231"/>
      <c r="F158" s="348"/>
      <c r="G158" s="309">
        <f t="shared" si="34"/>
        <v>0</v>
      </c>
      <c r="H158" s="309">
        <f>'TERMINAL TRACTORS'!M26</f>
        <v>0</v>
      </c>
      <c r="I158" s="310">
        <f t="shared" si="50"/>
        <v>0</v>
      </c>
      <c r="J158" s="311">
        <f t="shared" si="56"/>
        <v>0</v>
      </c>
      <c r="K158" s="312">
        <f t="shared" si="57"/>
        <v>1440.0000000000091</v>
      </c>
      <c r="L158" s="313">
        <f t="shared" si="53"/>
        <v>100</v>
      </c>
      <c r="M158" s="350">
        <f>'TERMINAL TRACTORS'!N26</f>
        <v>0</v>
      </c>
      <c r="N158" s="309">
        <f t="shared" si="54"/>
        <v>0.99999999999999367</v>
      </c>
      <c r="O158" s="314" t="e">
        <f t="shared" si="55"/>
        <v>#DIV/0!</v>
      </c>
      <c r="P158" s="359"/>
      <c r="Q158" s="370"/>
      <c r="R158" s="358"/>
      <c r="S158" s="779" t="str">
        <f>CONCATENATE("KTT199: ",'TERMINAL TRACTORS'!B26,"_",'TERMINAL TRACTORS'!F26,"_",'TERMINAL TRACTORS'!J26)</f>
        <v>KTT199: NIL_NIL_NIL</v>
      </c>
      <c r="T158" s="780"/>
      <c r="U158" s="780"/>
      <c r="V158" s="780"/>
      <c r="W158" s="780"/>
      <c r="X158" s="780"/>
      <c r="Y158" s="780"/>
      <c r="Z158" s="781"/>
    </row>
    <row r="159" spans="1:26" s="226" customFormat="1" ht="63.75" customHeight="1">
      <c r="A159" s="484"/>
      <c r="B159" s="484"/>
      <c r="C159" s="485"/>
      <c r="D159" s="349"/>
      <c r="E159" s="231"/>
      <c r="F159" s="348"/>
      <c r="G159" s="309">
        <f t="shared" si="34"/>
        <v>0</v>
      </c>
      <c r="H159" s="309">
        <f>'TERMINAL TRACTORS'!M27</f>
        <v>0</v>
      </c>
      <c r="I159" s="310">
        <f t="shared" si="50"/>
        <v>0</v>
      </c>
      <c r="J159" s="311">
        <f t="shared" si="56"/>
        <v>0</v>
      </c>
      <c r="K159" s="312">
        <f t="shared" si="57"/>
        <v>1440.0000000000091</v>
      </c>
      <c r="L159" s="313">
        <f t="shared" si="53"/>
        <v>100</v>
      </c>
      <c r="M159" s="350">
        <f>'TERMINAL TRACTORS'!N27</f>
        <v>0</v>
      </c>
      <c r="N159" s="309">
        <f t="shared" si="54"/>
        <v>0.99999999999999367</v>
      </c>
      <c r="O159" s="314" t="e">
        <f t="shared" si="55"/>
        <v>#DIV/0!</v>
      </c>
      <c r="P159" s="359"/>
      <c r="Q159" s="370"/>
      <c r="R159" s="358"/>
      <c r="S159" s="779" t="str">
        <f>CONCATENATE("KTT200: ",'TERMINAL TRACTORS'!B27,"_",'TERMINAL TRACTORS'!F27,"_",'TERMINAL TRACTORS'!J27)</f>
        <v>KTT200: NIL_NIL_NIL</v>
      </c>
      <c r="T159" s="780"/>
      <c r="U159" s="780"/>
      <c r="V159" s="780"/>
      <c r="W159" s="780"/>
      <c r="X159" s="780"/>
      <c r="Y159" s="780"/>
      <c r="Z159" s="781"/>
    </row>
    <row r="160" spans="1:26" s="226" customFormat="1" ht="63.75" customHeight="1">
      <c r="A160" s="484"/>
      <c r="B160" s="484"/>
      <c r="C160" s="485"/>
      <c r="D160" s="349"/>
      <c r="E160" s="231"/>
      <c r="F160" s="348"/>
      <c r="G160" s="309">
        <f t="shared" ref="G160:G221" si="58">CONVERT(H160,"hr","min")</f>
        <v>0</v>
      </c>
      <c r="H160" s="309">
        <f>'TERMINAL TRACTORS'!M28</f>
        <v>0</v>
      </c>
      <c r="I160" s="310">
        <f t="shared" si="50"/>
        <v>0</v>
      </c>
      <c r="J160" s="311">
        <f t="shared" si="56"/>
        <v>0</v>
      </c>
      <c r="K160" s="312">
        <f t="shared" si="57"/>
        <v>1440.0000000000091</v>
      </c>
      <c r="L160" s="313">
        <f t="shared" si="53"/>
        <v>100</v>
      </c>
      <c r="M160" s="350">
        <f>'TERMINAL TRACTORS'!N28</f>
        <v>0</v>
      </c>
      <c r="N160" s="309">
        <f t="shared" si="54"/>
        <v>0.99999999999999367</v>
      </c>
      <c r="O160" s="314" t="e">
        <f t="shared" si="55"/>
        <v>#DIV/0!</v>
      </c>
      <c r="P160" s="359"/>
      <c r="Q160" s="370"/>
      <c r="R160" s="358"/>
      <c r="S160" s="779" t="str">
        <f>CONCATENATE("KTT202: ",'TERMINAL TRACTORS'!B28,"_",'TERMINAL TRACTORS'!F28,"_",'TERMINAL TRACTORS'!J28)</f>
        <v>KTT202: NIL_NIL_NIL</v>
      </c>
      <c r="T160" s="780"/>
      <c r="U160" s="780"/>
      <c r="V160" s="780"/>
      <c r="W160" s="780"/>
      <c r="X160" s="780"/>
      <c r="Y160" s="780"/>
      <c r="Z160" s="781"/>
    </row>
    <row r="161" spans="1:26" s="226" customFormat="1" ht="63.75" customHeight="1">
      <c r="A161" s="484"/>
      <c r="B161" s="484"/>
      <c r="C161" s="485"/>
      <c r="D161" s="349"/>
      <c r="E161" s="231"/>
      <c r="F161" s="348"/>
      <c r="G161" s="309">
        <f t="shared" si="58"/>
        <v>60</v>
      </c>
      <c r="H161" s="309">
        <f>'TERMINAL TRACTORS'!M29</f>
        <v>1</v>
      </c>
      <c r="I161" s="310">
        <f t="shared" si="50"/>
        <v>1</v>
      </c>
      <c r="J161" s="311">
        <f t="shared" si="56"/>
        <v>1440.0000000000091</v>
      </c>
      <c r="K161" s="312">
        <f t="shared" si="57"/>
        <v>0</v>
      </c>
      <c r="L161" s="313">
        <f t="shared" si="53"/>
        <v>-6.3159354289786681E-13</v>
      </c>
      <c r="M161" s="350">
        <f>'TERMINAL TRACTORS'!N29</f>
        <v>0</v>
      </c>
      <c r="N161" s="309">
        <f t="shared" si="54"/>
        <v>-6.3159354289786285E-15</v>
      </c>
      <c r="O161" s="314" t="e">
        <f t="shared" si="55"/>
        <v>#DIV/0!</v>
      </c>
      <c r="P161" s="359"/>
      <c r="Q161" s="370"/>
      <c r="R161" s="358"/>
      <c r="S161" s="779" t="str">
        <f>CONCATENATE("KTT203: ",'TERMINAL TRACTORS'!B29,"_",'TERMINAL TRACTORS'!F29,"_",'TERMINAL TRACTORS'!J29)</f>
        <v>KTT203: UNSUAL NOISE -OUT_OUT_OUT</v>
      </c>
      <c r="T161" s="780"/>
      <c r="U161" s="780"/>
      <c r="V161" s="780"/>
      <c r="W161" s="780"/>
      <c r="X161" s="780"/>
      <c r="Y161" s="780"/>
      <c r="Z161" s="781"/>
    </row>
    <row r="162" spans="1:26" s="226" customFormat="1" ht="63.75" customHeight="1">
      <c r="A162" s="484"/>
      <c r="B162" s="484"/>
      <c r="C162" s="485"/>
      <c r="D162" s="349"/>
      <c r="E162" s="231"/>
      <c r="F162" s="348"/>
      <c r="G162" s="309">
        <f t="shared" si="58"/>
        <v>0</v>
      </c>
      <c r="H162" s="309">
        <f>'TERMINAL TRACTORS'!M30</f>
        <v>0</v>
      </c>
      <c r="I162" s="310">
        <f t="shared" si="50"/>
        <v>0</v>
      </c>
      <c r="J162" s="311">
        <f t="shared" si="56"/>
        <v>0</v>
      </c>
      <c r="K162" s="312">
        <f t="shared" si="57"/>
        <v>1440.0000000000091</v>
      </c>
      <c r="L162" s="313">
        <f t="shared" si="53"/>
        <v>100</v>
      </c>
      <c r="M162" s="350">
        <f>'TERMINAL TRACTORS'!N30</f>
        <v>0</v>
      </c>
      <c r="N162" s="309">
        <f t="shared" si="54"/>
        <v>0.99999999999999367</v>
      </c>
      <c r="O162" s="314" t="e">
        <f t="shared" si="55"/>
        <v>#DIV/0!</v>
      </c>
      <c r="P162" s="359"/>
      <c r="Q162" s="370"/>
      <c r="R162" s="358"/>
      <c r="S162" s="779" t="str">
        <f>CONCATENATE("KTT204: ",'TERMINAL TRACTORS'!B30,"_",'TERMINAL TRACTORS'!F30,"_",'TERMINAL TRACTORS'!J30)</f>
        <v>KTT204: NIL_NIL_NIL</v>
      </c>
      <c r="T162" s="780"/>
      <c r="U162" s="780"/>
      <c r="V162" s="780"/>
      <c r="W162" s="780"/>
      <c r="X162" s="780"/>
      <c r="Y162" s="780"/>
      <c r="Z162" s="781"/>
    </row>
    <row r="163" spans="1:26" s="226" customFormat="1" ht="63.75" customHeight="1">
      <c r="A163" s="484"/>
      <c r="B163" s="484"/>
      <c r="C163" s="485"/>
      <c r="D163" s="349"/>
      <c r="E163" s="231"/>
      <c r="F163" s="348"/>
      <c r="G163" s="309">
        <f t="shared" si="58"/>
        <v>0</v>
      </c>
      <c r="H163" s="309">
        <f>'TERMINAL TRACTORS'!M31</f>
        <v>0</v>
      </c>
      <c r="I163" s="310">
        <f t="shared" si="50"/>
        <v>0</v>
      </c>
      <c r="J163" s="311">
        <f t="shared" si="56"/>
        <v>0</v>
      </c>
      <c r="K163" s="312">
        <f t="shared" si="57"/>
        <v>1440.0000000000091</v>
      </c>
      <c r="L163" s="313">
        <f t="shared" si="53"/>
        <v>100</v>
      </c>
      <c r="M163" s="350">
        <f>'TERMINAL TRACTORS'!N31</f>
        <v>0</v>
      </c>
      <c r="N163" s="309">
        <f t="shared" si="54"/>
        <v>0.99999999999999367</v>
      </c>
      <c r="O163" s="314" t="e">
        <f t="shared" si="55"/>
        <v>#DIV/0!</v>
      </c>
      <c r="P163" s="359"/>
      <c r="Q163" s="370"/>
      <c r="R163" s="358"/>
      <c r="S163" s="779" t="str">
        <f>CONCATENATE("KTT211: ",'TERMINAL TRACTORS'!B31,"_",'TERMINAL TRACTORS'!F31,"_",'TERMINAL TRACTORS'!J31)</f>
        <v>KTT211: NIL_NIL_NIL</v>
      </c>
      <c r="T163" s="780"/>
      <c r="U163" s="780"/>
      <c r="V163" s="780"/>
      <c r="W163" s="780"/>
      <c r="X163" s="780"/>
      <c r="Y163" s="780"/>
      <c r="Z163" s="781"/>
    </row>
    <row r="164" spans="1:26" s="226" customFormat="1" ht="63.75" customHeight="1">
      <c r="A164" s="484"/>
      <c r="B164" s="484"/>
      <c r="C164" s="485"/>
      <c r="D164" s="349"/>
      <c r="E164" s="231"/>
      <c r="F164" s="348"/>
      <c r="G164" s="309">
        <f t="shared" si="58"/>
        <v>60</v>
      </c>
      <c r="H164" s="309">
        <f>'TERMINAL TRACTORS'!M32</f>
        <v>1</v>
      </c>
      <c r="I164" s="310">
        <f t="shared" si="50"/>
        <v>1</v>
      </c>
      <c r="J164" s="311">
        <f t="shared" si="56"/>
        <v>1440.0000000000091</v>
      </c>
      <c r="K164" s="312">
        <f t="shared" si="57"/>
        <v>0</v>
      </c>
      <c r="L164" s="313">
        <f t="shared" si="53"/>
        <v>-6.3159354289786681E-13</v>
      </c>
      <c r="M164" s="350">
        <f>'TERMINAL TRACTORS'!N32</f>
        <v>0</v>
      </c>
      <c r="N164" s="309">
        <f t="shared" si="54"/>
        <v>-6.3159354289786285E-15</v>
      </c>
      <c r="O164" s="314" t="e">
        <f t="shared" si="55"/>
        <v>#DIV/0!</v>
      </c>
      <c r="P164" s="359"/>
      <c r="Q164" s="370"/>
      <c r="R164" s="358"/>
      <c r="S164" s="779" t="str">
        <f>CONCATENATE("KTT212: ",'TERMINAL TRACTORS'!B32,"_",'TERMINAL TRACTORS'!F32,"_",'TERMINAL TRACTORS'!J32)</f>
        <v>KTT212: REAR DRIVE AXLE  FAULT.OUT_OUT_OUT</v>
      </c>
      <c r="T164" s="780"/>
      <c r="U164" s="780"/>
      <c r="V164" s="780"/>
      <c r="W164" s="780"/>
      <c r="X164" s="780"/>
      <c r="Y164" s="780"/>
      <c r="Z164" s="781"/>
    </row>
    <row r="165" spans="1:26" s="226" customFormat="1" ht="63.75" customHeight="1">
      <c r="A165" s="484"/>
      <c r="B165" s="484"/>
      <c r="C165" s="485"/>
      <c r="D165" s="349"/>
      <c r="E165" s="231"/>
      <c r="F165" s="348"/>
      <c r="G165" s="309">
        <f t="shared" si="58"/>
        <v>0</v>
      </c>
      <c r="H165" s="309">
        <f>'TERMINAL TRACTORS'!M33</f>
        <v>0</v>
      </c>
      <c r="I165" s="310">
        <f t="shared" si="50"/>
        <v>0</v>
      </c>
      <c r="J165" s="311">
        <f t="shared" si="56"/>
        <v>0</v>
      </c>
      <c r="K165" s="312">
        <f t="shared" si="57"/>
        <v>1440.0000000000091</v>
      </c>
      <c r="L165" s="313">
        <f t="shared" si="53"/>
        <v>100</v>
      </c>
      <c r="M165" s="350">
        <f>'TERMINAL TRACTORS'!N33</f>
        <v>0</v>
      </c>
      <c r="N165" s="309">
        <f t="shared" si="54"/>
        <v>0.99999999999999367</v>
      </c>
      <c r="O165" s="314" t="e">
        <f t="shared" si="55"/>
        <v>#DIV/0!</v>
      </c>
      <c r="P165" s="359"/>
      <c r="Q165" s="370"/>
      <c r="R165" s="358"/>
      <c r="S165" s="779" t="str">
        <f>CONCATENATE("KTT213: ",'TERMINAL TRACTORS'!B33,"_",'TERMINAL TRACTORS'!F33,"_",'TERMINAL TRACTORS'!J33)</f>
        <v>KTT213: NIL_NIL_NIL</v>
      </c>
      <c r="T165" s="780"/>
      <c r="U165" s="780"/>
      <c r="V165" s="780"/>
      <c r="W165" s="780"/>
      <c r="X165" s="780"/>
      <c r="Y165" s="780"/>
      <c r="Z165" s="781"/>
    </row>
    <row r="166" spans="1:26" s="226" customFormat="1" ht="63.75" customHeight="1">
      <c r="A166" s="484"/>
      <c r="B166" s="484"/>
      <c r="C166" s="485"/>
      <c r="D166" s="349"/>
      <c r="E166" s="231"/>
      <c r="F166" s="348"/>
      <c r="G166" s="309">
        <f t="shared" si="58"/>
        <v>0</v>
      </c>
      <c r="H166" s="309">
        <f>'TERMINAL TRACTORS'!M34</f>
        <v>0</v>
      </c>
      <c r="I166" s="310">
        <f t="shared" si="50"/>
        <v>0</v>
      </c>
      <c r="J166" s="311">
        <f t="shared" si="56"/>
        <v>0</v>
      </c>
      <c r="K166" s="312">
        <f t="shared" si="57"/>
        <v>1440.0000000000091</v>
      </c>
      <c r="L166" s="313">
        <f t="shared" si="53"/>
        <v>100</v>
      </c>
      <c r="M166" s="350">
        <f>'TERMINAL TRACTORS'!N34</f>
        <v>0</v>
      </c>
      <c r="N166" s="309">
        <f t="shared" si="54"/>
        <v>0.99999999999999367</v>
      </c>
      <c r="O166" s="314" t="e">
        <f t="shared" si="55"/>
        <v>#DIV/0!</v>
      </c>
      <c r="P166" s="359"/>
      <c r="Q166" s="370"/>
      <c r="R166" s="358"/>
      <c r="S166" s="779" t="str">
        <f>CONCATENATE("KTT214: ",'TERMINAL TRACTORS'!B34,"_",'TERMINAL TRACTORS'!F34,"_",'TERMINAL TRACTORS'!J34)</f>
        <v>KTT214: NIL_NIL_NIL</v>
      </c>
      <c r="T166" s="780"/>
      <c r="U166" s="780"/>
      <c r="V166" s="780"/>
      <c r="W166" s="780"/>
      <c r="X166" s="780"/>
      <c r="Y166" s="780"/>
      <c r="Z166" s="781"/>
    </row>
    <row r="167" spans="1:26" s="226" customFormat="1" ht="63.75" customHeight="1">
      <c r="A167" s="484"/>
      <c r="B167" s="484"/>
      <c r="C167" s="485"/>
      <c r="D167" s="349"/>
      <c r="E167" s="231"/>
      <c r="F167" s="348"/>
      <c r="G167" s="309">
        <f t="shared" si="58"/>
        <v>0</v>
      </c>
      <c r="H167" s="309">
        <f>'TERMINAL TRACTORS'!M35</f>
        <v>0</v>
      </c>
      <c r="I167" s="310">
        <f t="shared" si="50"/>
        <v>0</v>
      </c>
      <c r="J167" s="311">
        <f t="shared" si="56"/>
        <v>0</v>
      </c>
      <c r="K167" s="312">
        <f t="shared" si="57"/>
        <v>1440.0000000000091</v>
      </c>
      <c r="L167" s="313">
        <f t="shared" si="53"/>
        <v>100</v>
      </c>
      <c r="M167" s="350">
        <f>'TERMINAL TRACTORS'!N35</f>
        <v>0</v>
      </c>
      <c r="N167" s="309">
        <f t="shared" ref="N167:N192" si="59">((1440-J167)/(M167+1))*0.00069444444444444</f>
        <v>0.99999999999999367</v>
      </c>
      <c r="O167" s="314" t="e">
        <f t="shared" ref="O167:O192" si="60">((1440-K167)/(M167))*0.00069444444444444</f>
        <v>#DIV/0!</v>
      </c>
      <c r="P167" s="359"/>
      <c r="Q167" s="370"/>
      <c r="R167" s="358"/>
      <c r="S167" s="779" t="str">
        <f>CONCATENATE("KTT215: ",'TERMINAL TRACTORS'!B35,"_",'TERMINAL TRACTORS'!F35,"_",'TERMINAL TRACTORS'!J35)</f>
        <v>KTT215: NIL_NIL_NIL</v>
      </c>
      <c r="T167" s="780"/>
      <c r="U167" s="780"/>
      <c r="V167" s="780"/>
      <c r="W167" s="780"/>
      <c r="X167" s="780"/>
      <c r="Y167" s="780"/>
      <c r="Z167" s="781"/>
    </row>
    <row r="168" spans="1:26" s="226" customFormat="1" ht="63.75" customHeight="1">
      <c r="A168" s="484"/>
      <c r="B168" s="484"/>
      <c r="C168" s="485"/>
      <c r="D168" s="349"/>
      <c r="E168" s="231"/>
      <c r="F168" s="348"/>
      <c r="G168" s="309">
        <f t="shared" si="58"/>
        <v>0</v>
      </c>
      <c r="H168" s="309">
        <f>'TERMINAL TRACTORS'!M36</f>
        <v>0</v>
      </c>
      <c r="I168" s="310">
        <f t="shared" si="50"/>
        <v>0</v>
      </c>
      <c r="J168" s="311">
        <f t="shared" si="56"/>
        <v>0</v>
      </c>
      <c r="K168" s="312">
        <f t="shared" si="57"/>
        <v>1440.0000000000091</v>
      </c>
      <c r="L168" s="313">
        <f t="shared" si="53"/>
        <v>100</v>
      </c>
      <c r="M168" s="350">
        <f>'TERMINAL TRACTORS'!N36</f>
        <v>0</v>
      </c>
      <c r="N168" s="309">
        <f t="shared" si="59"/>
        <v>0.99999999999999367</v>
      </c>
      <c r="O168" s="314" t="e">
        <f t="shared" si="60"/>
        <v>#DIV/0!</v>
      </c>
      <c r="P168" s="359"/>
      <c r="Q168" s="370"/>
      <c r="R168" s="358"/>
      <c r="S168" s="779" t="str">
        <f>CONCATENATE("KTT216: ",'TERMINAL TRACTORS'!B36,"_",'TERMINAL TRACTORS'!F36,"_",'TERMINAL TRACTORS'!J36)</f>
        <v>KTT216: NIL_NIL_NIL</v>
      </c>
      <c r="T168" s="780"/>
      <c r="U168" s="780"/>
      <c r="V168" s="780"/>
      <c r="W168" s="780"/>
      <c r="X168" s="780"/>
      <c r="Y168" s="780"/>
      <c r="Z168" s="781"/>
    </row>
    <row r="169" spans="1:26" s="226" customFormat="1" ht="63.75" customHeight="1">
      <c r="A169" s="484"/>
      <c r="B169" s="484"/>
      <c r="C169" s="485"/>
      <c r="D169" s="349"/>
      <c r="E169" s="231"/>
      <c r="F169" s="348"/>
      <c r="G169" s="309">
        <f t="shared" si="58"/>
        <v>0</v>
      </c>
      <c r="H169" s="309">
        <f>'TERMINAL TRACTORS'!M37</f>
        <v>0</v>
      </c>
      <c r="I169" s="310">
        <f t="shared" si="50"/>
        <v>0</v>
      </c>
      <c r="J169" s="311">
        <f t="shared" si="56"/>
        <v>0</v>
      </c>
      <c r="K169" s="312">
        <f t="shared" si="57"/>
        <v>1440.0000000000091</v>
      </c>
      <c r="L169" s="313">
        <f t="shared" si="53"/>
        <v>100</v>
      </c>
      <c r="M169" s="350">
        <f>'TERMINAL TRACTORS'!N37</f>
        <v>0</v>
      </c>
      <c r="N169" s="309">
        <f t="shared" si="59"/>
        <v>0.99999999999999367</v>
      </c>
      <c r="O169" s="314" t="e">
        <f t="shared" si="60"/>
        <v>#DIV/0!</v>
      </c>
      <c r="P169" s="359"/>
      <c r="Q169" s="370"/>
      <c r="R169" s="358"/>
      <c r="S169" s="779" t="str">
        <f>CONCATENATE("KTT217: ",'TERMINAL TRACTORS'!B37,"_",'TERMINAL TRACTORS'!F37,"_",'TERMINAL TRACTORS'!J37)</f>
        <v>KTT217: NIL_NIL_NIL</v>
      </c>
      <c r="T169" s="780"/>
      <c r="U169" s="780"/>
      <c r="V169" s="780"/>
      <c r="W169" s="780"/>
      <c r="X169" s="780"/>
      <c r="Y169" s="780"/>
      <c r="Z169" s="781"/>
    </row>
    <row r="170" spans="1:26" s="226" customFormat="1" ht="63.75" customHeight="1">
      <c r="A170" s="484"/>
      <c r="B170" s="484"/>
      <c r="C170" s="485"/>
      <c r="D170" s="349"/>
      <c r="E170" s="231"/>
      <c r="F170" s="348"/>
      <c r="G170" s="309">
        <f t="shared" si="58"/>
        <v>0</v>
      </c>
      <c r="H170" s="309">
        <f>'TERMINAL TRACTORS'!M38</f>
        <v>0</v>
      </c>
      <c r="I170" s="310">
        <f t="shared" si="50"/>
        <v>0</v>
      </c>
      <c r="J170" s="311">
        <f t="shared" si="56"/>
        <v>0</v>
      </c>
      <c r="K170" s="312">
        <f t="shared" si="57"/>
        <v>1440.0000000000091</v>
      </c>
      <c r="L170" s="313">
        <f t="shared" si="53"/>
        <v>100</v>
      </c>
      <c r="M170" s="350">
        <f>'TERMINAL TRACTORS'!N38</f>
        <v>0</v>
      </c>
      <c r="N170" s="309">
        <f t="shared" si="59"/>
        <v>0.99999999999999367</v>
      </c>
      <c r="O170" s="314" t="e">
        <f t="shared" si="60"/>
        <v>#DIV/0!</v>
      </c>
      <c r="P170" s="359"/>
      <c r="Q170" s="370"/>
      <c r="R170" s="358"/>
      <c r="S170" s="779" t="str">
        <f>CONCATENATE("KTT218: ",'TERMINAL TRACTORS'!B38,"_",'TERMINAL TRACTORS'!F38,"_",'TERMINAL TRACTORS'!J38)</f>
        <v>KTT218: NIL_NIL_NIL</v>
      </c>
      <c r="T170" s="780"/>
      <c r="U170" s="780"/>
      <c r="V170" s="780"/>
      <c r="W170" s="780"/>
      <c r="X170" s="780"/>
      <c r="Y170" s="780"/>
      <c r="Z170" s="781"/>
    </row>
    <row r="171" spans="1:26" s="226" customFormat="1" ht="63.75" customHeight="1">
      <c r="A171" s="484"/>
      <c r="B171" s="484"/>
      <c r="C171" s="485"/>
      <c r="D171" s="349"/>
      <c r="E171" s="231"/>
      <c r="F171" s="348"/>
      <c r="G171" s="309">
        <f t="shared" si="58"/>
        <v>0</v>
      </c>
      <c r="H171" s="309">
        <f>'TERMINAL TRACTORS'!M39</f>
        <v>0</v>
      </c>
      <c r="I171" s="310">
        <f t="shared" si="50"/>
        <v>0</v>
      </c>
      <c r="J171" s="311">
        <f t="shared" si="56"/>
        <v>0</v>
      </c>
      <c r="K171" s="312">
        <f t="shared" si="57"/>
        <v>1440.0000000000091</v>
      </c>
      <c r="L171" s="313">
        <f t="shared" si="53"/>
        <v>100</v>
      </c>
      <c r="M171" s="350">
        <f>'TERMINAL TRACTORS'!N39</f>
        <v>0</v>
      </c>
      <c r="N171" s="309">
        <f t="shared" si="59"/>
        <v>0.99999999999999367</v>
      </c>
      <c r="O171" s="314" t="e">
        <f t="shared" si="60"/>
        <v>#DIV/0!</v>
      </c>
      <c r="P171" s="359"/>
      <c r="Q171" s="370"/>
      <c r="R171" s="358"/>
      <c r="S171" s="779" t="str">
        <f>CONCATENATE("KTT219: ",'TERMINAL TRACTORS'!B39,"_",'TERMINAL TRACTORS'!F39,"_",'TERMINAL TRACTORS'!J39)</f>
        <v>KTT219: NIL_NIL_NIL</v>
      </c>
      <c r="T171" s="780"/>
      <c r="U171" s="780"/>
      <c r="V171" s="780"/>
      <c r="W171" s="780"/>
      <c r="X171" s="780"/>
      <c r="Y171" s="780"/>
      <c r="Z171" s="781"/>
    </row>
    <row r="172" spans="1:26" s="226" customFormat="1" ht="63.75" customHeight="1">
      <c r="A172" s="484"/>
      <c r="B172" s="484"/>
      <c r="C172" s="485"/>
      <c r="D172" s="349"/>
      <c r="E172" s="231"/>
      <c r="F172" s="348"/>
      <c r="G172" s="309">
        <f t="shared" si="58"/>
        <v>0</v>
      </c>
      <c r="H172" s="309">
        <f>'TERMINAL TRACTORS'!M40</f>
        <v>0</v>
      </c>
      <c r="I172" s="310">
        <f t="shared" si="50"/>
        <v>0</v>
      </c>
      <c r="J172" s="311">
        <f t="shared" si="56"/>
        <v>0</v>
      </c>
      <c r="K172" s="312">
        <f t="shared" si="57"/>
        <v>1440.0000000000091</v>
      </c>
      <c r="L172" s="313">
        <f t="shared" si="53"/>
        <v>100</v>
      </c>
      <c r="M172" s="350">
        <f>'TERMINAL TRACTORS'!N40</f>
        <v>0</v>
      </c>
      <c r="N172" s="309">
        <f t="shared" si="59"/>
        <v>0.99999999999999367</v>
      </c>
      <c r="O172" s="314" t="e">
        <f t="shared" si="60"/>
        <v>#DIV/0!</v>
      </c>
      <c r="P172" s="359"/>
      <c r="Q172" s="370"/>
      <c r="R172" s="358"/>
      <c r="S172" s="779" t="str">
        <f>CONCATENATE("KTT221: ",'TERMINAL TRACTORS'!B40,"_",'TERMINAL TRACTORS'!F40,"_",'TERMINAL TRACTORS'!J40)</f>
        <v>KTT221: NIL_NIL_NIL</v>
      </c>
      <c r="T172" s="780"/>
      <c r="U172" s="780"/>
      <c r="V172" s="780"/>
      <c r="W172" s="780"/>
      <c r="X172" s="780"/>
      <c r="Y172" s="780"/>
      <c r="Z172" s="781"/>
    </row>
    <row r="173" spans="1:26" s="226" customFormat="1" ht="63.75" customHeight="1">
      <c r="A173" s="484"/>
      <c r="B173" s="484"/>
      <c r="C173" s="485"/>
      <c r="D173" s="349"/>
      <c r="E173" s="231"/>
      <c r="F173" s="348"/>
      <c r="G173" s="309">
        <f t="shared" si="58"/>
        <v>60</v>
      </c>
      <c r="H173" s="309">
        <f>'TERMINAL TRACTORS'!M41</f>
        <v>1</v>
      </c>
      <c r="I173" s="310">
        <f t="shared" si="50"/>
        <v>1</v>
      </c>
      <c r="J173" s="311">
        <f t="shared" si="56"/>
        <v>1440.0000000000091</v>
      </c>
      <c r="K173" s="312">
        <f t="shared" si="57"/>
        <v>0</v>
      </c>
      <c r="L173" s="313">
        <f t="shared" si="53"/>
        <v>-6.3159354289786681E-13</v>
      </c>
      <c r="M173" s="350">
        <f>'TERMINAL TRACTORS'!N41</f>
        <v>0</v>
      </c>
      <c r="N173" s="309">
        <f t="shared" si="59"/>
        <v>-6.3159354289786285E-15</v>
      </c>
      <c r="O173" s="314" t="e">
        <f t="shared" si="60"/>
        <v>#DIV/0!</v>
      </c>
      <c r="P173" s="359"/>
      <c r="Q173" s="370"/>
      <c r="R173" s="358"/>
      <c r="S173" s="779" t="str">
        <f>CONCATENATE("KTT223: ",'TERMINAL TRACTORS'!B41,"_",'TERMINAL TRACTORS'!F41,"_",'TERMINAL TRACTORS'!J41)</f>
        <v>KTT223: OUT - REAR DRIVE AXLE BROKEN_OUT_OUT</v>
      </c>
      <c r="T173" s="780"/>
      <c r="U173" s="780"/>
      <c r="V173" s="780"/>
      <c r="W173" s="780"/>
      <c r="X173" s="780"/>
      <c r="Y173" s="780"/>
      <c r="Z173" s="781"/>
    </row>
    <row r="174" spans="1:26" s="226" customFormat="1" ht="63.75" customHeight="1">
      <c r="A174" s="484"/>
      <c r="B174" s="484"/>
      <c r="C174" s="485"/>
      <c r="D174" s="349"/>
      <c r="E174" s="231"/>
      <c r="F174" s="348"/>
      <c r="G174" s="309">
        <f t="shared" si="58"/>
        <v>60</v>
      </c>
      <c r="H174" s="309">
        <f>'TERMINAL TRACTORS'!M42</f>
        <v>1</v>
      </c>
      <c r="I174" s="310">
        <f t="shared" si="50"/>
        <v>1</v>
      </c>
      <c r="J174" s="311">
        <f t="shared" si="56"/>
        <v>1440.0000000000091</v>
      </c>
      <c r="K174" s="312">
        <f t="shared" si="57"/>
        <v>0</v>
      </c>
      <c r="L174" s="313">
        <f t="shared" si="53"/>
        <v>-6.3159354289786681E-13</v>
      </c>
      <c r="M174" s="350">
        <f>'TERMINAL TRACTORS'!N42</f>
        <v>0</v>
      </c>
      <c r="N174" s="309">
        <f t="shared" si="59"/>
        <v>-6.3159354289786285E-15</v>
      </c>
      <c r="O174" s="314" t="e">
        <f t="shared" si="60"/>
        <v>#DIV/0!</v>
      </c>
      <c r="P174" s="359"/>
      <c r="Q174" s="370"/>
      <c r="R174" s="358"/>
      <c r="S174" s="779" t="str">
        <f>CONCATENATE("KTT224: ",'TERMINAL TRACTORS'!B42,"_",'TERMINAL TRACTORS'!F42,"_",'TERMINAL TRACTORS'!J42)</f>
        <v>KTT224: OUT- REAR DRIVE AXLE BROKEN_OUT_OUT</v>
      </c>
      <c r="T174" s="780"/>
      <c r="U174" s="780"/>
      <c r="V174" s="780"/>
      <c r="W174" s="780"/>
      <c r="X174" s="780"/>
      <c r="Y174" s="780"/>
      <c r="Z174" s="781"/>
    </row>
    <row r="175" spans="1:26" s="226" customFormat="1" ht="63.75" customHeight="1">
      <c r="A175" s="484"/>
      <c r="B175" s="484"/>
      <c r="C175" s="485"/>
      <c r="D175" s="349"/>
      <c r="E175" s="231"/>
      <c r="F175" s="348"/>
      <c r="G175" s="309">
        <f t="shared" si="58"/>
        <v>0</v>
      </c>
      <c r="H175" s="309">
        <f>'TERMINAL TRACTORS'!M43</f>
        <v>0</v>
      </c>
      <c r="I175" s="310">
        <f t="shared" si="50"/>
        <v>0</v>
      </c>
      <c r="J175" s="311">
        <f t="shared" ref="J175:J236" si="61">I175/0.00069444444444444</f>
        <v>0</v>
      </c>
      <c r="K175" s="312">
        <f t="shared" ref="K175:K236" si="62">(1-I175)/0.00069444444444444</f>
        <v>1440.0000000000091</v>
      </c>
      <c r="L175" s="313">
        <f t="shared" si="53"/>
        <v>100</v>
      </c>
      <c r="M175" s="350">
        <f>'TERMINAL TRACTORS'!N43</f>
        <v>0</v>
      </c>
      <c r="N175" s="309">
        <f t="shared" si="59"/>
        <v>0.99999999999999367</v>
      </c>
      <c r="O175" s="314" t="e">
        <f t="shared" si="60"/>
        <v>#DIV/0!</v>
      </c>
      <c r="P175" s="359"/>
      <c r="Q175" s="370"/>
      <c r="R175" s="358"/>
      <c r="S175" s="779" t="str">
        <f>CONCATENATE("KTT225: ",'TERMINAL TRACTORS'!B43,"_",'TERMINAL TRACTORS'!F43,"_",'TERMINAL TRACTORS'!J43)</f>
        <v>KTT225: NIL_NIL_NIL</v>
      </c>
      <c r="T175" s="780"/>
      <c r="U175" s="780"/>
      <c r="V175" s="780"/>
      <c r="W175" s="780"/>
      <c r="X175" s="780"/>
      <c r="Y175" s="780"/>
      <c r="Z175" s="781"/>
    </row>
    <row r="176" spans="1:26" s="226" customFormat="1" ht="63.75" customHeight="1">
      <c r="A176" s="484"/>
      <c r="B176" s="484"/>
      <c r="C176" s="485"/>
      <c r="D176" s="349"/>
      <c r="E176" s="231"/>
      <c r="F176" s="348"/>
      <c r="G176" s="309">
        <f t="shared" si="58"/>
        <v>60</v>
      </c>
      <c r="H176" s="309">
        <f>'TERMINAL TRACTORS'!M44</f>
        <v>1</v>
      </c>
      <c r="I176" s="310">
        <f t="shared" si="50"/>
        <v>1</v>
      </c>
      <c r="J176" s="311">
        <f t="shared" si="61"/>
        <v>1440.0000000000091</v>
      </c>
      <c r="K176" s="312">
        <f t="shared" si="62"/>
        <v>0</v>
      </c>
      <c r="L176" s="313">
        <f t="shared" si="53"/>
        <v>-6.3159354289786681E-13</v>
      </c>
      <c r="M176" s="350">
        <f>'TERMINAL TRACTORS'!N44</f>
        <v>0</v>
      </c>
      <c r="N176" s="309">
        <f t="shared" si="59"/>
        <v>-6.3159354289786285E-15</v>
      </c>
      <c r="O176" s="314" t="e">
        <f t="shared" si="60"/>
        <v>#DIV/0!</v>
      </c>
      <c r="P176" s="359"/>
      <c r="Q176" s="370"/>
      <c r="R176" s="358"/>
      <c r="S176" s="779" t="str">
        <f>CONCATENATE("KTT226: ",'TERMINAL TRACTORS'!B44,"_",'TERMINAL TRACTORS'!F44,"_",'TERMINAL TRACTORS'!J44)</f>
        <v>KTT226: NO MOTION-OUT _OUT_OUT</v>
      </c>
      <c r="T176" s="780"/>
      <c r="U176" s="780"/>
      <c r="V176" s="780"/>
      <c r="W176" s="780"/>
      <c r="X176" s="780"/>
      <c r="Y176" s="780"/>
      <c r="Z176" s="781"/>
    </row>
    <row r="177" spans="1:26" s="226" customFormat="1" ht="63.75" customHeight="1">
      <c r="A177" s="484"/>
      <c r="B177" s="484"/>
      <c r="C177" s="485"/>
      <c r="D177" s="349"/>
      <c r="E177" s="231"/>
      <c r="F177" s="348"/>
      <c r="G177" s="309">
        <f t="shared" si="58"/>
        <v>60</v>
      </c>
      <c r="H177" s="309">
        <f>'TERMINAL TRACTORS'!M45</f>
        <v>1</v>
      </c>
      <c r="I177" s="310">
        <f t="shared" si="50"/>
        <v>1</v>
      </c>
      <c r="J177" s="311">
        <f t="shared" si="61"/>
        <v>1440.0000000000091</v>
      </c>
      <c r="K177" s="312">
        <f t="shared" si="62"/>
        <v>0</v>
      </c>
      <c r="L177" s="313">
        <f t="shared" si="53"/>
        <v>-6.3159354289786681E-13</v>
      </c>
      <c r="M177" s="350">
        <f>'TERMINAL TRACTORS'!N45</f>
        <v>0</v>
      </c>
      <c r="N177" s="309">
        <f t="shared" si="59"/>
        <v>-6.3159354289786285E-15</v>
      </c>
      <c r="O177" s="314" t="e">
        <f t="shared" si="60"/>
        <v>#DIV/0!</v>
      </c>
      <c r="P177" s="359"/>
      <c r="Q177" s="370"/>
      <c r="R177" s="358"/>
      <c r="S177" s="779" t="str">
        <f>CONCATENATE("KTT228: ",'TERMINAL TRACTORS'!B45,"_",'TERMINAL TRACTORS'!F45,"_",'TERMINAL TRACTORS'!J45)</f>
        <v>KTT228: REAR DRIVE AXLE BROKEN -OUT_OUT_OUT</v>
      </c>
      <c r="T177" s="780"/>
      <c r="U177" s="780"/>
      <c r="V177" s="780"/>
      <c r="W177" s="780"/>
      <c r="X177" s="780"/>
      <c r="Y177" s="780"/>
      <c r="Z177" s="781"/>
    </row>
    <row r="178" spans="1:26" s="226" customFormat="1" ht="63.75" customHeight="1">
      <c r="A178" s="484"/>
      <c r="B178" s="484"/>
      <c r="C178" s="485"/>
      <c r="D178" s="349"/>
      <c r="E178" s="231"/>
      <c r="F178" s="348"/>
      <c r="G178" s="309">
        <f t="shared" si="58"/>
        <v>0</v>
      </c>
      <c r="H178" s="309">
        <f>'TERMINAL TRACTORS'!M46</f>
        <v>0</v>
      </c>
      <c r="I178" s="310">
        <f t="shared" si="50"/>
        <v>0</v>
      </c>
      <c r="J178" s="311">
        <f t="shared" si="61"/>
        <v>0</v>
      </c>
      <c r="K178" s="312">
        <f t="shared" si="62"/>
        <v>1440.0000000000091</v>
      </c>
      <c r="L178" s="313">
        <f t="shared" si="53"/>
        <v>100</v>
      </c>
      <c r="M178" s="350">
        <f>'TERMINAL TRACTORS'!N46</f>
        <v>0</v>
      </c>
      <c r="N178" s="309">
        <f t="shared" si="59"/>
        <v>0.99999999999999367</v>
      </c>
      <c r="O178" s="314" t="e">
        <f t="shared" si="60"/>
        <v>#DIV/0!</v>
      </c>
      <c r="P178" s="359"/>
      <c r="Q178" s="370"/>
      <c r="R178" s="358"/>
      <c r="S178" s="779" t="str">
        <f>CONCATENATE("KTT229: ",'TERMINAL TRACTORS'!B46,"_",'TERMINAL TRACTORS'!F46,"_",'TERMINAL TRACTORS'!J46)</f>
        <v>KTT229: NIL_NIL_NIL</v>
      </c>
      <c r="T178" s="780"/>
      <c r="U178" s="780"/>
      <c r="V178" s="780"/>
      <c r="W178" s="780"/>
      <c r="X178" s="780"/>
      <c r="Y178" s="780"/>
      <c r="Z178" s="781"/>
    </row>
    <row r="179" spans="1:26" s="226" customFormat="1" ht="63.75" customHeight="1">
      <c r="A179" s="484"/>
      <c r="B179" s="484"/>
      <c r="C179" s="485"/>
      <c r="D179" s="349"/>
      <c r="E179" s="231"/>
      <c r="F179" s="348"/>
      <c r="G179" s="309">
        <f t="shared" si="58"/>
        <v>0</v>
      </c>
      <c r="H179" s="309">
        <f>'TERMINAL TRACTORS'!M47</f>
        <v>0</v>
      </c>
      <c r="I179" s="310">
        <f t="shared" si="50"/>
        <v>0</v>
      </c>
      <c r="J179" s="311">
        <f t="shared" si="61"/>
        <v>0</v>
      </c>
      <c r="K179" s="312">
        <f t="shared" si="62"/>
        <v>1440.0000000000091</v>
      </c>
      <c r="L179" s="313">
        <f t="shared" si="53"/>
        <v>100</v>
      </c>
      <c r="M179" s="350">
        <f>'TERMINAL TRACTORS'!N47</f>
        <v>0</v>
      </c>
      <c r="N179" s="309">
        <f t="shared" si="59"/>
        <v>0.99999999999999367</v>
      </c>
      <c r="O179" s="314" t="e">
        <f t="shared" si="60"/>
        <v>#DIV/0!</v>
      </c>
      <c r="P179" s="359"/>
      <c r="Q179" s="370"/>
      <c r="R179" s="358"/>
      <c r="S179" s="779" t="str">
        <f>CONCATENATE("KTT230: ",'TERMINAL TRACTORS'!B47,"_",'TERMINAL TRACTORS'!F47,"_",'TERMINAL TRACTORS'!J47)</f>
        <v>KTT230: NIL_NIL_NIL</v>
      </c>
      <c r="T179" s="780"/>
      <c r="U179" s="780"/>
      <c r="V179" s="780"/>
      <c r="W179" s="780"/>
      <c r="X179" s="780"/>
      <c r="Y179" s="780"/>
      <c r="Z179" s="781"/>
    </row>
    <row r="180" spans="1:26" s="226" customFormat="1" ht="63.75" customHeight="1">
      <c r="A180" s="484"/>
      <c r="B180" s="484"/>
      <c r="C180" s="485"/>
      <c r="D180" s="349"/>
      <c r="E180" s="231"/>
      <c r="F180" s="348"/>
      <c r="G180" s="309">
        <f t="shared" si="58"/>
        <v>0</v>
      </c>
      <c r="H180" s="309">
        <f>'TERMINAL TRACTORS'!M48</f>
        <v>0</v>
      </c>
      <c r="I180" s="310">
        <f t="shared" si="50"/>
        <v>0</v>
      </c>
      <c r="J180" s="311">
        <f t="shared" si="61"/>
        <v>0</v>
      </c>
      <c r="K180" s="312">
        <f t="shared" si="62"/>
        <v>1440.0000000000091</v>
      </c>
      <c r="L180" s="313">
        <f t="shared" si="53"/>
        <v>100</v>
      </c>
      <c r="M180" s="350">
        <f>'TERMINAL TRACTORS'!N48</f>
        <v>0</v>
      </c>
      <c r="N180" s="309">
        <f t="shared" si="59"/>
        <v>0.99999999999999367</v>
      </c>
      <c r="O180" s="314" t="e">
        <f t="shared" si="60"/>
        <v>#DIV/0!</v>
      </c>
      <c r="P180" s="359"/>
      <c r="Q180" s="370"/>
      <c r="R180" s="358"/>
      <c r="S180" s="779" t="str">
        <f>CONCATENATE("KTT231: ",'TERMINAL TRACTORS'!B48,"_",'TERMINAL TRACTORS'!F48,"_",'TERMINAL TRACTORS'!J48)</f>
        <v>KTT231: NIL_NIL_NIL</v>
      </c>
      <c r="T180" s="780"/>
      <c r="U180" s="780"/>
      <c r="V180" s="780"/>
      <c r="W180" s="780"/>
      <c r="X180" s="780"/>
      <c r="Y180" s="780"/>
      <c r="Z180" s="781"/>
    </row>
    <row r="181" spans="1:26" s="226" customFormat="1" ht="63.75" customHeight="1">
      <c r="A181" s="484"/>
      <c r="B181" s="484"/>
      <c r="C181" s="485"/>
      <c r="D181" s="349"/>
      <c r="E181" s="231"/>
      <c r="F181" s="348"/>
      <c r="G181" s="309">
        <f t="shared" si="58"/>
        <v>60</v>
      </c>
      <c r="H181" s="309">
        <f>'TERMINAL TRACTORS'!M49</f>
        <v>1</v>
      </c>
      <c r="I181" s="310">
        <f t="shared" si="50"/>
        <v>1</v>
      </c>
      <c r="J181" s="311">
        <f t="shared" si="61"/>
        <v>1440.0000000000091</v>
      </c>
      <c r="K181" s="312">
        <f t="shared" si="62"/>
        <v>0</v>
      </c>
      <c r="L181" s="313">
        <f t="shared" si="53"/>
        <v>-6.3159354289786681E-13</v>
      </c>
      <c r="M181" s="350">
        <f>'TERMINAL TRACTORS'!N49</f>
        <v>0</v>
      </c>
      <c r="N181" s="309">
        <f t="shared" si="59"/>
        <v>-6.3159354289786285E-15</v>
      </c>
      <c r="O181" s="314" t="e">
        <f t="shared" si="60"/>
        <v>#DIV/0!</v>
      </c>
      <c r="P181" s="359"/>
      <c r="Q181" s="370"/>
      <c r="R181" s="358"/>
      <c r="S181" s="779" t="str">
        <f>CONCATENATE("KTT235: ",'TERMINAL TRACTORS'!B49,"_",'TERMINAL TRACTORS'!F49,"_",'TERMINAL TRACTORS'!J49)</f>
        <v>KTT235: REAR DRIVE AXLE BROKEN -OUT _OUT_OUT</v>
      </c>
      <c r="T181" s="780"/>
      <c r="U181" s="780"/>
      <c r="V181" s="780"/>
      <c r="W181" s="780"/>
      <c r="X181" s="780"/>
      <c r="Y181" s="780"/>
      <c r="Z181" s="781"/>
    </row>
    <row r="182" spans="1:26" s="226" customFormat="1" ht="63.75" customHeight="1">
      <c r="A182" s="484"/>
      <c r="B182" s="484"/>
      <c r="C182" s="485"/>
      <c r="D182" s="349"/>
      <c r="E182" s="231"/>
      <c r="F182" s="348"/>
      <c r="G182" s="309">
        <f t="shared" si="58"/>
        <v>0</v>
      </c>
      <c r="H182" s="309">
        <f>'TERMINAL TRACTORS'!M50</f>
        <v>0</v>
      </c>
      <c r="I182" s="310">
        <f t="shared" si="50"/>
        <v>0</v>
      </c>
      <c r="J182" s="311">
        <f t="shared" si="61"/>
        <v>0</v>
      </c>
      <c r="K182" s="312">
        <f t="shared" si="62"/>
        <v>1440.0000000000091</v>
      </c>
      <c r="L182" s="313">
        <f t="shared" si="53"/>
        <v>100</v>
      </c>
      <c r="M182" s="350">
        <f>'TERMINAL TRACTORS'!N50</f>
        <v>0</v>
      </c>
      <c r="N182" s="309">
        <f t="shared" si="59"/>
        <v>0.99999999999999367</v>
      </c>
      <c r="O182" s="314"/>
      <c r="P182" s="359"/>
      <c r="Q182" s="370"/>
      <c r="R182" s="358"/>
      <c r="S182" s="779" t="str">
        <f>CONCATENATE("KTT236: ",'TERMINAL TRACTORS'!B50,"_",'TERMINAL TRACTORS'!F50,"_",'TERMINAL TRACTORS'!J50)</f>
        <v>KTT236: NIL_NIL_NIL</v>
      </c>
      <c r="T182" s="780"/>
      <c r="U182" s="780"/>
      <c r="V182" s="780"/>
      <c r="W182" s="780"/>
      <c r="X182" s="780"/>
      <c r="Y182" s="780"/>
      <c r="Z182" s="781"/>
    </row>
    <row r="183" spans="1:26" s="226" customFormat="1" ht="63.75" customHeight="1">
      <c r="A183" s="484"/>
      <c r="B183" s="484"/>
      <c r="C183" s="485"/>
      <c r="D183" s="349"/>
      <c r="E183" s="231"/>
      <c r="F183" s="348"/>
      <c r="G183" s="309">
        <f t="shared" si="58"/>
        <v>0</v>
      </c>
      <c r="H183" s="309">
        <f>'TERMINAL TRACTORS'!M51</f>
        <v>0</v>
      </c>
      <c r="I183" s="310">
        <f t="shared" si="50"/>
        <v>0</v>
      </c>
      <c r="J183" s="311">
        <f t="shared" si="61"/>
        <v>0</v>
      </c>
      <c r="K183" s="312">
        <f t="shared" si="62"/>
        <v>1440.0000000000091</v>
      </c>
      <c r="L183" s="313">
        <f t="shared" si="53"/>
        <v>100</v>
      </c>
      <c r="M183" s="350">
        <f>'TERMINAL TRACTORS'!N51</f>
        <v>0</v>
      </c>
      <c r="N183" s="309">
        <f t="shared" si="59"/>
        <v>0.99999999999999367</v>
      </c>
      <c r="O183" s="314"/>
      <c r="P183" s="359"/>
      <c r="Q183" s="370"/>
      <c r="R183" s="358"/>
      <c r="S183" s="779" t="str">
        <f>CONCATENATE("KTT237: ",'TERMINAL TRACTORS'!B51,"_",'TERMINAL TRACTORS'!F51,"_",'TERMINAL TRACTORS'!J51)</f>
        <v>KTT237: NIL_NIL_NIL</v>
      </c>
      <c r="T183" s="780"/>
      <c r="U183" s="780"/>
      <c r="V183" s="780"/>
      <c r="W183" s="780"/>
      <c r="X183" s="780"/>
      <c r="Y183" s="780"/>
      <c r="Z183" s="781"/>
    </row>
    <row r="184" spans="1:26" s="226" customFormat="1" ht="63.75" customHeight="1">
      <c r="A184" s="484"/>
      <c r="B184" s="484"/>
      <c r="C184" s="485"/>
      <c r="D184" s="349"/>
      <c r="E184" s="231"/>
      <c r="F184" s="348"/>
      <c r="G184" s="309">
        <f t="shared" si="58"/>
        <v>0</v>
      </c>
      <c r="H184" s="309">
        <f>'TERMINAL TRACTORS'!M52</f>
        <v>0</v>
      </c>
      <c r="I184" s="310">
        <f t="shared" si="50"/>
        <v>0</v>
      </c>
      <c r="J184" s="311">
        <f t="shared" si="61"/>
        <v>0</v>
      </c>
      <c r="K184" s="312">
        <f t="shared" si="62"/>
        <v>1440.0000000000091</v>
      </c>
      <c r="L184" s="313">
        <f t="shared" si="53"/>
        <v>100</v>
      </c>
      <c r="M184" s="350">
        <f>'TERMINAL TRACTORS'!N52</f>
        <v>0</v>
      </c>
      <c r="N184" s="309">
        <f t="shared" si="59"/>
        <v>0.99999999999999367</v>
      </c>
      <c r="O184" s="314"/>
      <c r="P184" s="359"/>
      <c r="Q184" s="370"/>
      <c r="R184" s="358"/>
      <c r="S184" s="779" t="str">
        <f>CONCATENATE("KTT238: ",'TERMINAL TRACTORS'!B52,"_",'TERMINAL TRACTORS'!F52,"_",'TERMINAL TRACTORS'!J52)</f>
        <v>KTT238: NIL_NIL_NIL</v>
      </c>
      <c r="T184" s="780"/>
      <c r="U184" s="780"/>
      <c r="V184" s="780"/>
      <c r="W184" s="780"/>
      <c r="X184" s="780"/>
      <c r="Y184" s="780"/>
      <c r="Z184" s="781"/>
    </row>
    <row r="185" spans="1:26" s="226" customFormat="1" ht="63.75" customHeight="1">
      <c r="A185" s="484"/>
      <c r="B185" s="484"/>
      <c r="C185" s="485"/>
      <c r="D185" s="349"/>
      <c r="E185" s="231"/>
      <c r="F185" s="348"/>
      <c r="G185" s="309">
        <f t="shared" si="58"/>
        <v>0</v>
      </c>
      <c r="H185" s="309">
        <f>'TERMINAL TRACTORS'!M53</f>
        <v>0</v>
      </c>
      <c r="I185" s="310">
        <f t="shared" si="50"/>
        <v>0</v>
      </c>
      <c r="J185" s="311">
        <f t="shared" si="61"/>
        <v>0</v>
      </c>
      <c r="K185" s="312">
        <f t="shared" si="62"/>
        <v>1440.0000000000091</v>
      </c>
      <c r="L185" s="313">
        <f t="shared" si="53"/>
        <v>100</v>
      </c>
      <c r="M185" s="350">
        <f>'TERMINAL TRACTORS'!N53</f>
        <v>0</v>
      </c>
      <c r="N185" s="309">
        <f t="shared" si="59"/>
        <v>0.99999999999999367</v>
      </c>
      <c r="O185" s="314"/>
      <c r="P185" s="359"/>
      <c r="Q185" s="370"/>
      <c r="R185" s="358"/>
      <c r="S185" s="779" t="str">
        <f>CONCATENATE("KTT239: ",'TERMINAL TRACTORS'!B53,"_",'TERMINAL TRACTORS'!F53,"_",'TERMINAL TRACTORS'!J53)</f>
        <v>KTT239: NIL_NIL_NIL</v>
      </c>
      <c r="T185" s="780"/>
      <c r="U185" s="780"/>
      <c r="V185" s="780"/>
      <c r="W185" s="780"/>
      <c r="X185" s="780"/>
      <c r="Y185" s="780"/>
      <c r="Z185" s="781"/>
    </row>
    <row r="186" spans="1:26" s="226" customFormat="1" ht="63.75" customHeight="1">
      <c r="A186" s="484"/>
      <c r="B186" s="484"/>
      <c r="C186" s="485"/>
      <c r="D186" s="349"/>
      <c r="E186" s="231"/>
      <c r="F186" s="348"/>
      <c r="G186" s="309">
        <f t="shared" si="58"/>
        <v>0</v>
      </c>
      <c r="H186" s="309">
        <f>'TERMINAL TRACTORS'!M54</f>
        <v>0</v>
      </c>
      <c r="I186" s="310">
        <f t="shared" si="50"/>
        <v>0</v>
      </c>
      <c r="J186" s="311">
        <f t="shared" si="61"/>
        <v>0</v>
      </c>
      <c r="K186" s="312">
        <f t="shared" si="62"/>
        <v>1440.0000000000091</v>
      </c>
      <c r="L186" s="313">
        <f t="shared" si="53"/>
        <v>100</v>
      </c>
      <c r="M186" s="350">
        <f>'TERMINAL TRACTORS'!N54</f>
        <v>0</v>
      </c>
      <c r="N186" s="309">
        <f t="shared" si="59"/>
        <v>0.99999999999999367</v>
      </c>
      <c r="O186" s="314"/>
      <c r="P186" s="359"/>
      <c r="Q186" s="370"/>
      <c r="R186" s="358"/>
      <c r="S186" s="779" t="str">
        <f>CONCATENATE("KTT240: ",'TERMINAL TRACTORS'!B54,"_",'TERMINAL TRACTORS'!F54,"_",'TERMINAL TRACTORS'!J54)</f>
        <v>KTT240: NIL_NIL_NIL</v>
      </c>
      <c r="T186" s="780"/>
      <c r="U186" s="780"/>
      <c r="V186" s="780"/>
      <c r="W186" s="780"/>
      <c r="X186" s="780"/>
      <c r="Y186" s="780"/>
      <c r="Z186" s="781"/>
    </row>
    <row r="187" spans="1:26" s="226" customFormat="1" ht="63.75" customHeight="1">
      <c r="A187" s="484"/>
      <c r="B187" s="484"/>
      <c r="C187" s="485"/>
      <c r="D187" s="349"/>
      <c r="E187" s="231"/>
      <c r="F187" s="348"/>
      <c r="G187" s="309">
        <f t="shared" si="58"/>
        <v>60</v>
      </c>
      <c r="H187" s="309">
        <f>'TERMINAL TRACTORS'!M55</f>
        <v>1</v>
      </c>
      <c r="I187" s="310">
        <f t="shared" si="50"/>
        <v>1</v>
      </c>
      <c r="J187" s="311">
        <f t="shared" si="61"/>
        <v>1440.0000000000091</v>
      </c>
      <c r="K187" s="312">
        <f t="shared" si="62"/>
        <v>0</v>
      </c>
      <c r="L187" s="313">
        <f t="shared" si="53"/>
        <v>-6.3159354289786681E-13</v>
      </c>
      <c r="M187" s="350">
        <f>'TERMINAL TRACTORS'!N55</f>
        <v>0</v>
      </c>
      <c r="N187" s="309">
        <f t="shared" si="59"/>
        <v>-6.3159354289786285E-15</v>
      </c>
      <c r="O187" s="314"/>
      <c r="P187" s="359"/>
      <c r="Q187" s="370"/>
      <c r="R187" s="358"/>
      <c r="S187" s="779" t="str">
        <f>CONCATENATE("TTT43: ",'TERMINAL TRACTORS'!B55,"_",'TERMINAL TRACTORS'!F55,"_",'TERMINAL TRACTORS'!J55)</f>
        <v>TTT43: WHEEL STUDS/HUB -OUT_OUT_OUT</v>
      </c>
      <c r="T187" s="780"/>
      <c r="U187" s="780"/>
      <c r="V187" s="780"/>
      <c r="W187" s="780"/>
      <c r="X187" s="780"/>
      <c r="Y187" s="780"/>
      <c r="Z187" s="781"/>
    </row>
    <row r="188" spans="1:26" s="226" customFormat="1" ht="63.75" customHeight="1">
      <c r="A188" s="484"/>
      <c r="B188" s="484"/>
      <c r="C188" s="485"/>
      <c r="D188" s="349"/>
      <c r="E188" s="231"/>
      <c r="F188" s="348"/>
      <c r="G188" s="309">
        <f t="shared" si="58"/>
        <v>60</v>
      </c>
      <c r="H188" s="309">
        <f>'TERMINAL TRACTORS'!M56</f>
        <v>1</v>
      </c>
      <c r="I188" s="310">
        <f t="shared" si="50"/>
        <v>1</v>
      </c>
      <c r="J188" s="311">
        <f t="shared" si="61"/>
        <v>1440.0000000000091</v>
      </c>
      <c r="K188" s="312">
        <f t="shared" si="62"/>
        <v>0</v>
      </c>
      <c r="L188" s="313">
        <f t="shared" si="53"/>
        <v>-6.3159354289786681E-13</v>
      </c>
      <c r="M188" s="350">
        <f>'TERMINAL TRACTORS'!N56</f>
        <v>0</v>
      </c>
      <c r="N188" s="309">
        <f t="shared" si="59"/>
        <v>-6.3159354289786285E-15</v>
      </c>
      <c r="O188" s="314"/>
      <c r="P188" s="359"/>
      <c r="Q188" s="370"/>
      <c r="R188" s="358"/>
      <c r="S188" s="779" t="str">
        <f>CONCATENATE("TTT44: ",'TERMINAL TRACTORS'!B56,"_",'TERMINAL TRACTORS'!F56,"_",'TERMINAL TRACTORS'!J56)</f>
        <v>TTT44: HOISTING CYLINDER FLT.OUT _OUT_OUT</v>
      </c>
      <c r="T188" s="780"/>
      <c r="U188" s="780"/>
      <c r="V188" s="780"/>
      <c r="W188" s="780"/>
      <c r="X188" s="780"/>
      <c r="Y188" s="780"/>
      <c r="Z188" s="781"/>
    </row>
    <row r="189" spans="1:26" s="226" customFormat="1" ht="63.75" customHeight="1">
      <c r="A189" s="484"/>
      <c r="B189" s="484"/>
      <c r="C189" s="485"/>
      <c r="D189" s="349"/>
      <c r="E189" s="231"/>
      <c r="F189" s="348"/>
      <c r="G189" s="309">
        <f t="shared" si="58"/>
        <v>60</v>
      </c>
      <c r="H189" s="309">
        <f>'TERMINAL TRACTORS'!M57</f>
        <v>1</v>
      </c>
      <c r="I189" s="310">
        <f t="shared" si="50"/>
        <v>1</v>
      </c>
      <c r="J189" s="311">
        <f t="shared" si="61"/>
        <v>1440.0000000000091</v>
      </c>
      <c r="K189" s="312">
        <f t="shared" si="62"/>
        <v>0</v>
      </c>
      <c r="L189" s="313">
        <f t="shared" si="53"/>
        <v>-6.3159354289786681E-13</v>
      </c>
      <c r="M189" s="350">
        <f>'TERMINAL TRACTORS'!N57</f>
        <v>0</v>
      </c>
      <c r="N189" s="309">
        <f t="shared" si="59"/>
        <v>-6.3159354289786285E-15</v>
      </c>
      <c r="O189" s="314" t="e">
        <f t="shared" si="60"/>
        <v>#DIV/0!</v>
      </c>
      <c r="P189" s="359"/>
      <c r="Q189" s="370"/>
      <c r="R189" s="358"/>
      <c r="S189" s="779" t="str">
        <f>CONCATENATE("TTT127: ",'TERMINAL TRACTORS'!B57,"_",'TERMINAL TRACTORS'!F57,"_",'TERMINAL TRACTORS'!J57)</f>
        <v>TTT127: RADIATOR LEAKAGE-OUT_OUT_OUT</v>
      </c>
      <c r="T189" s="780"/>
      <c r="U189" s="780"/>
      <c r="V189" s="780"/>
      <c r="W189" s="780"/>
      <c r="X189" s="780"/>
      <c r="Y189" s="780"/>
      <c r="Z189" s="781"/>
    </row>
    <row r="190" spans="1:26" s="226" customFormat="1" ht="63.75" customHeight="1">
      <c r="A190" s="484"/>
      <c r="B190" s="484"/>
      <c r="C190" s="485"/>
      <c r="D190" s="349"/>
      <c r="E190" s="231"/>
      <c r="F190" s="348"/>
      <c r="G190" s="309">
        <f t="shared" si="58"/>
        <v>0</v>
      </c>
      <c r="H190" s="309">
        <f>'TERMINAL TRACTORS'!M58</f>
        <v>0</v>
      </c>
      <c r="I190" s="310">
        <f t="shared" si="50"/>
        <v>0</v>
      </c>
      <c r="J190" s="311">
        <f t="shared" si="61"/>
        <v>0</v>
      </c>
      <c r="K190" s="312">
        <f t="shared" si="62"/>
        <v>1440.0000000000091</v>
      </c>
      <c r="L190" s="313">
        <f t="shared" si="53"/>
        <v>100</v>
      </c>
      <c r="M190" s="350">
        <f>'TERMINAL TRACTORS'!N58</f>
        <v>0</v>
      </c>
      <c r="N190" s="309">
        <f t="shared" si="59"/>
        <v>0.99999999999999367</v>
      </c>
      <c r="O190" s="314" t="e">
        <f t="shared" si="60"/>
        <v>#DIV/0!</v>
      </c>
      <c r="P190" s="359"/>
      <c r="Q190" s="370"/>
      <c r="R190" s="358"/>
      <c r="S190" s="779" t="str">
        <f>CONCATENATE("TTT129: ",'TERMINAL TRACTORS'!B58,"_",'TERMINAL TRACTORS'!F58,"_",'TERMINAL TRACTORS'!J58)</f>
        <v>TTT129: NIL_NIL_NIL</v>
      </c>
      <c r="T190" s="780"/>
      <c r="U190" s="780"/>
      <c r="V190" s="780"/>
      <c r="W190" s="780"/>
      <c r="X190" s="780"/>
      <c r="Y190" s="780"/>
      <c r="Z190" s="781"/>
    </row>
    <row r="191" spans="1:26" s="226" customFormat="1" ht="63.75" customHeight="1">
      <c r="A191" s="484"/>
      <c r="B191" s="484"/>
      <c r="C191" s="485"/>
      <c r="D191" s="349"/>
      <c r="E191" s="231"/>
      <c r="F191" s="348"/>
      <c r="G191" s="309">
        <f t="shared" si="58"/>
        <v>0</v>
      </c>
      <c r="H191" s="309">
        <f>'TERMINAL TRACTORS'!M59</f>
        <v>0</v>
      </c>
      <c r="I191" s="310">
        <f t="shared" si="50"/>
        <v>0</v>
      </c>
      <c r="J191" s="311">
        <f t="shared" si="61"/>
        <v>0</v>
      </c>
      <c r="K191" s="312">
        <f t="shared" si="62"/>
        <v>1440.0000000000091</v>
      </c>
      <c r="L191" s="313">
        <f t="shared" si="53"/>
        <v>100</v>
      </c>
      <c r="M191" s="350">
        <f>'TERMINAL TRACTORS'!N59</f>
        <v>0</v>
      </c>
      <c r="N191" s="309">
        <f>((1440-J191)/(M191+1))*0.00069444444444444</f>
        <v>0.99999999999999367</v>
      </c>
      <c r="O191" s="314" t="e">
        <f>((1440-K191)/(M191))*0.00069444444444444</f>
        <v>#DIV/0!</v>
      </c>
      <c r="P191" s="359"/>
      <c r="Q191" s="370"/>
      <c r="R191" s="358"/>
      <c r="S191" s="779" t="str">
        <f>CONCATENATE("TTT130: ",'TERMINAL TRACTORS'!B59,"_",'TERMINAL TRACTORS'!F59,"_",'TERMINAL TRACTORS'!J59)</f>
        <v>TTT130: NIL_NIL_NIL</v>
      </c>
      <c r="T191" s="780"/>
      <c r="U191" s="780"/>
      <c r="V191" s="780"/>
      <c r="W191" s="780"/>
      <c r="X191" s="780"/>
      <c r="Y191" s="780"/>
      <c r="Z191" s="781"/>
    </row>
    <row r="192" spans="1:26" s="226" customFormat="1" ht="63.75" customHeight="1">
      <c r="A192" s="484"/>
      <c r="B192" s="484"/>
      <c r="C192" s="485"/>
      <c r="D192" s="349"/>
      <c r="E192" s="231"/>
      <c r="F192" s="348"/>
      <c r="G192" s="309">
        <f t="shared" si="58"/>
        <v>0</v>
      </c>
      <c r="H192" s="309">
        <f>'TERMINAL TRACTORS'!M60</f>
        <v>0</v>
      </c>
      <c r="I192" s="310">
        <f t="shared" si="50"/>
        <v>0</v>
      </c>
      <c r="J192" s="311">
        <f t="shared" si="61"/>
        <v>0</v>
      </c>
      <c r="K192" s="312">
        <f t="shared" si="62"/>
        <v>1440.0000000000091</v>
      </c>
      <c r="L192" s="313">
        <f t="shared" si="53"/>
        <v>100</v>
      </c>
      <c r="M192" s="350">
        <f>'TERMINAL TRACTORS'!N60</f>
        <v>0</v>
      </c>
      <c r="N192" s="309">
        <f t="shared" si="59"/>
        <v>0.99999999999999367</v>
      </c>
      <c r="O192" s="314" t="e">
        <f t="shared" si="60"/>
        <v>#DIV/0!</v>
      </c>
      <c r="P192" s="359"/>
      <c r="Q192" s="370"/>
      <c r="R192" s="358"/>
      <c r="S192" s="779" t="str">
        <f>CONCATENATE("TTT131: ",'TERMINAL TRACTORS'!B60,"_",'TERMINAL TRACTORS'!F60,"_",'TERMINAL TRACTORS'!J60)</f>
        <v>TTT131: NIL_NIL_NIL</v>
      </c>
      <c r="T192" s="780"/>
      <c r="U192" s="780"/>
      <c r="V192" s="780"/>
      <c r="W192" s="780"/>
      <c r="X192" s="780"/>
      <c r="Y192" s="780"/>
      <c r="Z192" s="781"/>
    </row>
    <row r="193" spans="1:26" s="226" customFormat="1" ht="63.75" customHeight="1">
      <c r="A193" s="484"/>
      <c r="B193" s="484"/>
      <c r="C193" s="485"/>
      <c r="D193" s="349"/>
      <c r="E193" s="231"/>
      <c r="F193" s="348"/>
      <c r="G193" s="309">
        <f t="shared" si="58"/>
        <v>0</v>
      </c>
      <c r="H193" s="309">
        <f>'TERMINAL TRACTORS'!M61</f>
        <v>0</v>
      </c>
      <c r="I193" s="310">
        <f t="shared" si="50"/>
        <v>0</v>
      </c>
      <c r="J193" s="311">
        <f t="shared" si="61"/>
        <v>0</v>
      </c>
      <c r="K193" s="312">
        <f t="shared" si="62"/>
        <v>1440.0000000000091</v>
      </c>
      <c r="L193" s="313">
        <f t="shared" si="53"/>
        <v>100</v>
      </c>
      <c r="M193" s="350">
        <f>'TERMINAL TRACTORS'!N61</f>
        <v>0</v>
      </c>
      <c r="N193" s="309">
        <f>((1440-J193)/(M193+1))*0.00069444444444444</f>
        <v>0.99999999999999367</v>
      </c>
      <c r="O193" s="314" t="e">
        <f>((1440-K193)/(M193))*0.00069444444444444</f>
        <v>#DIV/0!</v>
      </c>
      <c r="P193" s="359"/>
      <c r="Q193" s="370"/>
      <c r="R193" s="358"/>
      <c r="S193" s="779" t="str">
        <f>CONCATENATE("TTT132: ",'TERMINAL TRACTORS'!B61,"_",'TERMINAL TRACTORS'!F61,"_",'TERMINAL TRACTORS'!J61)</f>
        <v>TTT132: NIL_NIL_NIL</v>
      </c>
      <c r="T193" s="780"/>
      <c r="U193" s="780"/>
      <c r="V193" s="780"/>
      <c r="W193" s="780"/>
      <c r="X193" s="780"/>
      <c r="Y193" s="780"/>
      <c r="Z193" s="781"/>
    </row>
    <row r="194" spans="1:26" s="226" customFormat="1" ht="63.75" customHeight="1">
      <c r="A194" s="484"/>
      <c r="B194" s="484"/>
      <c r="C194" s="485"/>
      <c r="D194" s="349"/>
      <c r="E194" s="231"/>
      <c r="F194" s="348"/>
      <c r="G194" s="309">
        <f t="shared" si="58"/>
        <v>60</v>
      </c>
      <c r="H194" s="309">
        <f>'TERMINAL TRACTORS'!M62</f>
        <v>1</v>
      </c>
      <c r="I194" s="310">
        <f t="shared" si="50"/>
        <v>1</v>
      </c>
      <c r="J194" s="311">
        <f t="shared" si="61"/>
        <v>1440.0000000000091</v>
      </c>
      <c r="K194" s="312">
        <f t="shared" si="62"/>
        <v>0</v>
      </c>
      <c r="L194" s="313">
        <f t="shared" si="53"/>
        <v>-6.3159354289786681E-13</v>
      </c>
      <c r="M194" s="350">
        <f>'TERMINAL TRACTORS'!N62</f>
        <v>0</v>
      </c>
      <c r="N194" s="309">
        <f>((1440-J194)/(M194+1))*0.00069444444444444</f>
        <v>-6.3159354289786285E-15</v>
      </c>
      <c r="O194" s="314" t="e">
        <f>((1440-K194)/(M194))*0.00069444444444444</f>
        <v>#DIV/0!</v>
      </c>
      <c r="P194" s="359"/>
      <c r="Q194" s="370"/>
      <c r="R194" s="358"/>
      <c r="S194" s="779" t="str">
        <f>CONCATENATE("TTT133: ",'TERMINAL TRACTORS'!B62,"_",'TERMINAL TRACTORS'!F62,"_",'TERMINAL TRACTORS'!J62)</f>
        <v>TTT133: FIFTH WHEEL CARRIER CRACKED -OUT_OUT_OUT</v>
      </c>
      <c r="T194" s="780"/>
      <c r="U194" s="780"/>
      <c r="V194" s="780"/>
      <c r="W194" s="780"/>
      <c r="X194" s="780"/>
      <c r="Y194" s="780"/>
      <c r="Z194" s="781"/>
    </row>
    <row r="195" spans="1:26" s="226" customFormat="1" ht="63.75" customHeight="1">
      <c r="A195" s="484"/>
      <c r="B195" s="484"/>
      <c r="C195" s="485"/>
      <c r="D195" s="349"/>
      <c r="E195" s="231"/>
      <c r="F195" s="348"/>
      <c r="G195" s="309">
        <f t="shared" si="58"/>
        <v>0</v>
      </c>
      <c r="H195" s="309">
        <f>'TERMINAL TRACTORS'!M63</f>
        <v>0</v>
      </c>
      <c r="I195" s="310">
        <f t="shared" si="50"/>
        <v>0</v>
      </c>
      <c r="J195" s="311">
        <f t="shared" si="61"/>
        <v>0</v>
      </c>
      <c r="K195" s="312">
        <f t="shared" si="62"/>
        <v>1440.0000000000091</v>
      </c>
      <c r="L195" s="313">
        <f t="shared" si="53"/>
        <v>100</v>
      </c>
      <c r="M195" s="350">
        <f>'TERMINAL TRACTORS'!N63</f>
        <v>0</v>
      </c>
      <c r="N195" s="309">
        <f>((1440-J195)/(M195+1))*0.00069444444444444</f>
        <v>0.99999999999999367</v>
      </c>
      <c r="O195" s="314" t="e">
        <f>((1440-K195)/(M195))*0.00069444444444444</f>
        <v>#DIV/0!</v>
      </c>
      <c r="P195" s="359"/>
      <c r="Q195" s="370"/>
      <c r="R195" s="358"/>
      <c r="S195" s="779" t="str">
        <f>CONCATENATE("TTT134: ",'TERMINAL TRACTORS'!B63,"_",'TERMINAL TRACTORS'!F63,"_",'TERMINAL TRACTORS'!J63)</f>
        <v>TTT134: NIL_NIL_NIL</v>
      </c>
      <c r="T195" s="780"/>
      <c r="U195" s="780"/>
      <c r="V195" s="780"/>
      <c r="W195" s="780"/>
      <c r="X195" s="780"/>
      <c r="Y195" s="780"/>
      <c r="Z195" s="781"/>
    </row>
    <row r="196" spans="1:26" s="226" customFormat="1" ht="63.75" customHeight="1">
      <c r="A196" s="484"/>
      <c r="B196" s="484"/>
      <c r="C196" s="485"/>
      <c r="D196" s="349"/>
      <c r="E196" s="231"/>
      <c r="F196" s="348"/>
      <c r="G196" s="309">
        <f t="shared" si="58"/>
        <v>60</v>
      </c>
      <c r="H196" s="309">
        <f>'TERMINAL TRACTORS'!M64</f>
        <v>1</v>
      </c>
      <c r="I196" s="310">
        <f t="shared" si="50"/>
        <v>1</v>
      </c>
      <c r="J196" s="311">
        <f t="shared" si="61"/>
        <v>1440.0000000000091</v>
      </c>
      <c r="K196" s="312">
        <f t="shared" si="62"/>
        <v>0</v>
      </c>
      <c r="L196" s="313">
        <f t="shared" si="53"/>
        <v>-6.3159354289786681E-13</v>
      </c>
      <c r="M196" s="350">
        <f>'TERMINAL TRACTORS'!N64</f>
        <v>0</v>
      </c>
      <c r="N196" s="309">
        <f t="shared" ref="N196:N236" si="63">((1440-J196)/(M196+1))*0.00069444444444444</f>
        <v>-6.3159354289786285E-15</v>
      </c>
      <c r="O196" s="314" t="e">
        <f t="shared" ref="O196:O254" si="64">((1440-K196)/(M196))*0.00069444444444444</f>
        <v>#DIV/0!</v>
      </c>
      <c r="P196" s="359"/>
      <c r="Q196" s="370"/>
      <c r="R196" s="358"/>
      <c r="S196" s="779" t="str">
        <f>CONCATENATE("TTT135: ",'TERMINAL TRACTORS'!B64,"_",'TERMINAL TRACTORS'!F64,"_",'TERMINAL TRACTORS'!J64)</f>
        <v>TTT135: DASHBOARD SHORT CCT/5TH WHEEL-OUT_OUT_OUT</v>
      </c>
      <c r="T196" s="780"/>
      <c r="U196" s="780"/>
      <c r="V196" s="780"/>
      <c r="W196" s="780"/>
      <c r="X196" s="780"/>
      <c r="Y196" s="780"/>
      <c r="Z196" s="781"/>
    </row>
    <row r="197" spans="1:26" s="226" customFormat="1" ht="63.75" customHeight="1">
      <c r="A197" s="484"/>
      <c r="B197" s="484"/>
      <c r="C197" s="485"/>
      <c r="D197" s="349"/>
      <c r="E197" s="231"/>
      <c r="F197" s="348"/>
      <c r="G197" s="309">
        <f t="shared" si="58"/>
        <v>0</v>
      </c>
      <c r="H197" s="309">
        <f>'TERMINAL TRACTORS'!M65</f>
        <v>0</v>
      </c>
      <c r="I197" s="310">
        <f t="shared" si="50"/>
        <v>0</v>
      </c>
      <c r="J197" s="311">
        <f t="shared" si="61"/>
        <v>0</v>
      </c>
      <c r="K197" s="312">
        <f t="shared" si="62"/>
        <v>1440.0000000000091</v>
      </c>
      <c r="L197" s="313">
        <f t="shared" si="53"/>
        <v>100</v>
      </c>
      <c r="M197" s="350">
        <f>'TERMINAL TRACTORS'!N65</f>
        <v>0</v>
      </c>
      <c r="N197" s="309">
        <f t="shared" si="63"/>
        <v>0.99999999999999367</v>
      </c>
      <c r="O197" s="314" t="e">
        <f t="shared" si="64"/>
        <v>#DIV/0!</v>
      </c>
      <c r="P197" s="359"/>
      <c r="Q197" s="370"/>
      <c r="R197" s="358"/>
      <c r="S197" s="779" t="str">
        <f>CONCATENATE("TTT136: ",'TERMINAL TRACTORS'!B65,"_",'TERMINAL TRACTORS'!F65,"_",'TERMINAL TRACTORS'!J65)</f>
        <v>TTT136: NIL_NIL_NIL</v>
      </c>
      <c r="T197" s="780"/>
      <c r="U197" s="780"/>
      <c r="V197" s="780"/>
      <c r="W197" s="780"/>
      <c r="X197" s="780"/>
      <c r="Y197" s="780"/>
      <c r="Z197" s="781"/>
    </row>
    <row r="198" spans="1:26" s="226" customFormat="1" ht="63.75" customHeight="1">
      <c r="A198" s="484"/>
      <c r="B198" s="484"/>
      <c r="C198" s="485"/>
      <c r="D198" s="349"/>
      <c r="E198" s="231"/>
      <c r="F198" s="348"/>
      <c r="G198" s="309">
        <f t="shared" si="58"/>
        <v>0</v>
      </c>
      <c r="H198" s="309">
        <f>'TERMINAL TRACTORS'!M66</f>
        <v>0</v>
      </c>
      <c r="I198" s="310">
        <f t="shared" si="50"/>
        <v>0</v>
      </c>
      <c r="J198" s="311">
        <f t="shared" si="61"/>
        <v>0</v>
      </c>
      <c r="K198" s="312">
        <f t="shared" si="62"/>
        <v>1440.0000000000091</v>
      </c>
      <c r="L198" s="313">
        <f t="shared" si="53"/>
        <v>100</v>
      </c>
      <c r="M198" s="350">
        <f>'TERMINAL TRACTORS'!N66</f>
        <v>0</v>
      </c>
      <c r="N198" s="309">
        <f t="shared" si="63"/>
        <v>0.99999999999999367</v>
      </c>
      <c r="O198" s="314" t="e">
        <f t="shared" si="64"/>
        <v>#DIV/0!</v>
      </c>
      <c r="P198" s="359"/>
      <c r="Q198" s="370"/>
      <c r="R198" s="358"/>
      <c r="S198" s="779" t="str">
        <f>CONCATENATE("TTT137: ",'TERMINAL TRACTORS'!B66,"_",'TERMINAL TRACTORS'!F66,"_",'TERMINAL TRACTORS'!J66)</f>
        <v>TTT137: NIL_NIL_NIL</v>
      </c>
      <c r="T198" s="780"/>
      <c r="U198" s="780"/>
      <c r="V198" s="780"/>
      <c r="W198" s="780"/>
      <c r="X198" s="780"/>
      <c r="Y198" s="780"/>
      <c r="Z198" s="781"/>
    </row>
    <row r="199" spans="1:26" s="226" customFormat="1" ht="63.75" customHeight="1">
      <c r="A199" s="484"/>
      <c r="B199" s="484"/>
      <c r="C199" s="485"/>
      <c r="D199" s="349"/>
      <c r="E199" s="231"/>
      <c r="F199" s="348"/>
      <c r="G199" s="309">
        <f t="shared" si="58"/>
        <v>0</v>
      </c>
      <c r="H199" s="309">
        <f>'TERMINAL TRACTORS'!M67</f>
        <v>0</v>
      </c>
      <c r="I199" s="310">
        <f t="shared" si="50"/>
        <v>0</v>
      </c>
      <c r="J199" s="311">
        <f t="shared" si="61"/>
        <v>0</v>
      </c>
      <c r="K199" s="312">
        <f t="shared" si="62"/>
        <v>1440.0000000000091</v>
      </c>
      <c r="L199" s="313">
        <f t="shared" si="53"/>
        <v>100</v>
      </c>
      <c r="M199" s="350">
        <f>'TERMINAL TRACTORS'!N67</f>
        <v>0</v>
      </c>
      <c r="N199" s="309">
        <f t="shared" si="63"/>
        <v>0.99999999999999367</v>
      </c>
      <c r="O199" s="314" t="e">
        <f t="shared" si="64"/>
        <v>#DIV/0!</v>
      </c>
      <c r="P199" s="359"/>
      <c r="Q199" s="370"/>
      <c r="R199" s="358"/>
      <c r="S199" s="779" t="str">
        <f>CONCATENATE("TTT163: ",'TERMINAL TRACTORS'!B67,"_",'TERMINAL TRACTORS'!F67,"_",'TERMINAL TRACTORS'!J67)</f>
        <v>TTT163: NIL_NIL_NIL</v>
      </c>
      <c r="T199" s="780"/>
      <c r="U199" s="780"/>
      <c r="V199" s="780"/>
      <c r="W199" s="780"/>
      <c r="X199" s="780"/>
      <c r="Y199" s="780"/>
      <c r="Z199" s="781"/>
    </row>
    <row r="200" spans="1:26" s="226" customFormat="1" ht="63.75" customHeight="1">
      <c r="A200" s="484"/>
      <c r="B200" s="484"/>
      <c r="C200" s="485"/>
      <c r="D200" s="349"/>
      <c r="E200" s="231"/>
      <c r="F200" s="348"/>
      <c r="G200" s="309">
        <f t="shared" si="58"/>
        <v>0</v>
      </c>
      <c r="H200" s="309">
        <f>'TERMINAL TRACTORS'!M68</f>
        <v>0</v>
      </c>
      <c r="I200" s="310">
        <f t="shared" si="50"/>
        <v>0</v>
      </c>
      <c r="J200" s="311">
        <f t="shared" si="61"/>
        <v>0</v>
      </c>
      <c r="K200" s="312">
        <f t="shared" si="62"/>
        <v>1440.0000000000091</v>
      </c>
      <c r="L200" s="313">
        <f t="shared" si="53"/>
        <v>100</v>
      </c>
      <c r="M200" s="350">
        <f>'TERMINAL TRACTORS'!N68</f>
        <v>0</v>
      </c>
      <c r="N200" s="309">
        <f t="shared" si="63"/>
        <v>0.99999999999999367</v>
      </c>
      <c r="O200" s="314" t="e">
        <f t="shared" si="64"/>
        <v>#DIV/0!</v>
      </c>
      <c r="P200" s="359"/>
      <c r="Q200" s="370"/>
      <c r="R200" s="358"/>
      <c r="S200" s="779" t="str">
        <f>CONCATENATE("TTT164: ",'TERMINAL TRACTORS'!B68,"_",'TERMINAL TRACTORS'!F68,"_",'TERMINAL TRACTORS'!J68)</f>
        <v>TTT164: NIL_NIL_NIL</v>
      </c>
      <c r="T200" s="780"/>
      <c r="U200" s="780"/>
      <c r="V200" s="780"/>
      <c r="W200" s="780"/>
      <c r="X200" s="780"/>
      <c r="Y200" s="780"/>
      <c r="Z200" s="781"/>
    </row>
    <row r="201" spans="1:26" s="226" customFormat="1" ht="63.75" customHeight="1">
      <c r="A201" s="484"/>
      <c r="B201" s="484"/>
      <c r="C201" s="485"/>
      <c r="D201" s="349"/>
      <c r="E201" s="231"/>
      <c r="F201" s="348"/>
      <c r="G201" s="309">
        <f t="shared" si="58"/>
        <v>0</v>
      </c>
      <c r="H201" s="309">
        <f>'TERMINAL TRACTORS'!M69</f>
        <v>0</v>
      </c>
      <c r="I201" s="310">
        <f t="shared" ref="I201:I236" si="65">H201</f>
        <v>0</v>
      </c>
      <c r="J201" s="311">
        <f t="shared" si="61"/>
        <v>0</v>
      </c>
      <c r="K201" s="312">
        <f t="shared" si="62"/>
        <v>1440.0000000000091</v>
      </c>
      <c r="L201" s="313">
        <f t="shared" si="53"/>
        <v>100</v>
      </c>
      <c r="M201" s="350">
        <f>'TERMINAL TRACTORS'!N69</f>
        <v>0</v>
      </c>
      <c r="N201" s="309">
        <f t="shared" si="63"/>
        <v>0.99999999999999367</v>
      </c>
      <c r="O201" s="314" t="e">
        <f t="shared" si="64"/>
        <v>#DIV/0!</v>
      </c>
      <c r="P201" s="359"/>
      <c r="Q201" s="370"/>
      <c r="R201" s="358"/>
      <c r="S201" s="779" t="str">
        <f>CONCATENATE("TTT165: ",'TERMINAL TRACTORS'!B69,"_",'TERMINAL TRACTORS'!F69,"_",'TERMINAL TRACTORS'!J69)</f>
        <v>TTT165: NIL_NIL_NIL</v>
      </c>
      <c r="T201" s="780"/>
      <c r="U201" s="780"/>
      <c r="V201" s="780"/>
      <c r="W201" s="780"/>
      <c r="X201" s="780"/>
      <c r="Y201" s="780"/>
      <c r="Z201" s="781"/>
    </row>
    <row r="202" spans="1:26" s="226" customFormat="1" ht="63.75" customHeight="1">
      <c r="A202" s="484"/>
      <c r="B202" s="484"/>
      <c r="C202" s="485"/>
      <c r="D202" s="349"/>
      <c r="E202" s="231"/>
      <c r="F202" s="348"/>
      <c r="G202" s="309">
        <f t="shared" si="58"/>
        <v>0</v>
      </c>
      <c r="H202" s="309">
        <f>'TERMINAL TRACTORS'!M70</f>
        <v>0</v>
      </c>
      <c r="I202" s="310">
        <f t="shared" si="65"/>
        <v>0</v>
      </c>
      <c r="J202" s="311">
        <f t="shared" si="61"/>
        <v>0</v>
      </c>
      <c r="K202" s="312">
        <f t="shared" si="62"/>
        <v>1440.0000000000091</v>
      </c>
      <c r="L202" s="313">
        <f t="shared" si="53"/>
        <v>100</v>
      </c>
      <c r="M202" s="350">
        <f>'TERMINAL TRACTORS'!N70</f>
        <v>0</v>
      </c>
      <c r="N202" s="309">
        <f t="shared" si="63"/>
        <v>0.99999999999999367</v>
      </c>
      <c r="O202" s="314" t="e">
        <f t="shared" si="64"/>
        <v>#DIV/0!</v>
      </c>
      <c r="P202" s="359"/>
      <c r="Q202" s="370"/>
      <c r="R202" s="358"/>
      <c r="S202" s="779" t="str">
        <f>CONCATENATE("TTT166: ",'TERMINAL TRACTORS'!B70,"_",'TERMINAL TRACTORS'!F70,"_",'TERMINAL TRACTORS'!J70)</f>
        <v>TTT166: NIL_NIL_NIL</v>
      </c>
      <c r="T202" s="780"/>
      <c r="U202" s="780"/>
      <c r="V202" s="780"/>
      <c r="W202" s="780"/>
      <c r="X202" s="780"/>
      <c r="Y202" s="780"/>
      <c r="Z202" s="781"/>
    </row>
    <row r="203" spans="1:26" s="226" customFormat="1" ht="63.75" customHeight="1">
      <c r="A203" s="484"/>
      <c r="B203" s="484"/>
      <c r="C203" s="485"/>
      <c r="D203" s="349"/>
      <c r="E203" s="231"/>
      <c r="F203" s="348"/>
      <c r="G203" s="309">
        <f t="shared" si="58"/>
        <v>0</v>
      </c>
      <c r="H203" s="309">
        <f>'TERMINAL TRACTORS'!M71</f>
        <v>0</v>
      </c>
      <c r="I203" s="310">
        <f t="shared" si="65"/>
        <v>0</v>
      </c>
      <c r="J203" s="311">
        <f t="shared" si="61"/>
        <v>0</v>
      </c>
      <c r="K203" s="312">
        <f t="shared" si="62"/>
        <v>1440.0000000000091</v>
      </c>
      <c r="L203" s="313">
        <f t="shared" si="53"/>
        <v>100</v>
      </c>
      <c r="M203" s="350">
        <f>'TERMINAL TRACTORS'!N71</f>
        <v>0</v>
      </c>
      <c r="N203" s="309">
        <f t="shared" si="63"/>
        <v>0.99999999999999367</v>
      </c>
      <c r="O203" s="314" t="e">
        <f t="shared" si="64"/>
        <v>#DIV/0!</v>
      </c>
      <c r="P203" s="359"/>
      <c r="Q203" s="370"/>
      <c r="R203" s="358"/>
      <c r="S203" s="779" t="str">
        <f>CONCATENATE("TTT167: ",'TERMINAL TRACTORS'!B71,"_",'TERMINAL TRACTORS'!F71,"_",'TERMINAL TRACTORS'!J71)</f>
        <v>TTT167: NIL_NIL_NIL</v>
      </c>
      <c r="T203" s="780"/>
      <c r="U203" s="780"/>
      <c r="V203" s="780"/>
      <c r="W203" s="780"/>
      <c r="X203" s="780"/>
      <c r="Y203" s="780"/>
      <c r="Z203" s="781"/>
    </row>
    <row r="204" spans="1:26" s="226" customFormat="1" ht="63.75" customHeight="1">
      <c r="A204" s="484"/>
      <c r="B204" s="484"/>
      <c r="C204" s="485"/>
      <c r="D204" s="349"/>
      <c r="E204" s="231"/>
      <c r="F204" s="348"/>
      <c r="G204" s="309">
        <f t="shared" si="58"/>
        <v>60</v>
      </c>
      <c r="H204" s="309">
        <f>'TERMINAL TRACTORS'!M72</f>
        <v>1</v>
      </c>
      <c r="I204" s="310">
        <f t="shared" si="65"/>
        <v>1</v>
      </c>
      <c r="J204" s="311">
        <f t="shared" si="61"/>
        <v>1440.0000000000091</v>
      </c>
      <c r="K204" s="312">
        <f t="shared" si="62"/>
        <v>0</v>
      </c>
      <c r="L204" s="313">
        <f t="shared" ref="L204:L236" si="66">((1440-(J204))/1440)*100</f>
        <v>-6.3159354289786681E-13</v>
      </c>
      <c r="M204" s="350">
        <f>'TERMINAL TRACTORS'!N72</f>
        <v>0</v>
      </c>
      <c r="N204" s="309">
        <f t="shared" si="63"/>
        <v>-6.3159354289786285E-15</v>
      </c>
      <c r="O204" s="314" t="e">
        <f t="shared" si="64"/>
        <v>#DIV/0!</v>
      </c>
      <c r="P204" s="359"/>
      <c r="Q204" s="370"/>
      <c r="R204" s="358"/>
      <c r="S204" s="779" t="str">
        <f>CONCATENATE("TTT168: ",'TERMINAL TRACTORS'!B72,"_",'TERMINAL TRACTORS'!F72,"_",'TERMINAL TRACTORS'!J72)</f>
        <v>TTT168: FIRE ACCIDENT -OUT_OUT_OUT</v>
      </c>
      <c r="T204" s="780"/>
      <c r="U204" s="780"/>
      <c r="V204" s="780"/>
      <c r="W204" s="780"/>
      <c r="X204" s="780"/>
      <c r="Y204" s="780"/>
      <c r="Z204" s="781"/>
    </row>
    <row r="205" spans="1:26" s="226" customFormat="1" ht="63.75" customHeight="1">
      <c r="A205" s="484"/>
      <c r="B205" s="484"/>
      <c r="C205" s="485"/>
      <c r="D205" s="349"/>
      <c r="E205" s="231"/>
      <c r="F205" s="348"/>
      <c r="G205" s="309">
        <f t="shared" si="58"/>
        <v>60</v>
      </c>
      <c r="H205" s="309">
        <f>'TERMINAL TRACTORS'!M73</f>
        <v>1</v>
      </c>
      <c r="I205" s="310">
        <f t="shared" si="65"/>
        <v>1</v>
      </c>
      <c r="J205" s="311">
        <f t="shared" si="61"/>
        <v>1440.0000000000091</v>
      </c>
      <c r="K205" s="312">
        <f t="shared" si="62"/>
        <v>0</v>
      </c>
      <c r="L205" s="313">
        <f t="shared" si="66"/>
        <v>-6.3159354289786681E-13</v>
      </c>
      <c r="M205" s="350">
        <f>'TERMINAL TRACTORS'!N73</f>
        <v>0</v>
      </c>
      <c r="N205" s="309">
        <f t="shared" si="63"/>
        <v>-6.3159354289786285E-15</v>
      </c>
      <c r="O205" s="314" t="e">
        <f t="shared" si="64"/>
        <v>#DIV/0!</v>
      </c>
      <c r="P205" s="359"/>
      <c r="Q205" s="370"/>
      <c r="R205" s="358"/>
      <c r="S205" s="779" t="str">
        <f>CONCATENATE("TTT169: ",'TERMINAL TRACTORS'!B73,"_",'TERMINAL TRACTORS'!F73,"_",'TERMINAL TRACTORS'!J73)</f>
        <v>TTT169: UNREPORTED ACCIDENT -OUT_OUT_OUT</v>
      </c>
      <c r="T205" s="780"/>
      <c r="U205" s="780"/>
      <c r="V205" s="780"/>
      <c r="W205" s="780"/>
      <c r="X205" s="780"/>
      <c r="Y205" s="780"/>
      <c r="Z205" s="781"/>
    </row>
    <row r="206" spans="1:26" s="226" customFormat="1" ht="63.75" customHeight="1">
      <c r="A206" s="484"/>
      <c r="B206" s="484"/>
      <c r="C206" s="485"/>
      <c r="D206" s="349"/>
      <c r="E206" s="231"/>
      <c r="F206" s="348"/>
      <c r="G206" s="309">
        <f t="shared" si="58"/>
        <v>0</v>
      </c>
      <c r="H206" s="309">
        <f>'TERMINAL TRACTORS'!M74</f>
        <v>0</v>
      </c>
      <c r="I206" s="310">
        <f t="shared" si="65"/>
        <v>0</v>
      </c>
      <c r="J206" s="311">
        <f t="shared" si="61"/>
        <v>0</v>
      </c>
      <c r="K206" s="312">
        <f t="shared" si="62"/>
        <v>1440.0000000000091</v>
      </c>
      <c r="L206" s="313">
        <f t="shared" si="66"/>
        <v>100</v>
      </c>
      <c r="M206" s="350">
        <f>'TERMINAL TRACTORS'!N74</f>
        <v>0</v>
      </c>
      <c r="N206" s="309">
        <f t="shared" si="63"/>
        <v>0.99999999999999367</v>
      </c>
      <c r="O206" s="314" t="e">
        <f t="shared" si="64"/>
        <v>#DIV/0!</v>
      </c>
      <c r="P206" s="359"/>
      <c r="Q206" s="370"/>
      <c r="R206" s="358"/>
      <c r="S206" s="779" t="str">
        <f>CONCATENATE("TTT170: ",'TERMINAL TRACTORS'!B74,"_",'TERMINAL TRACTORS'!F74,"_",'TERMINAL TRACTORS'!J74)</f>
        <v>TTT170: NIL_NIL_NIL</v>
      </c>
      <c r="T206" s="780"/>
      <c r="U206" s="780"/>
      <c r="V206" s="780"/>
      <c r="W206" s="780"/>
      <c r="X206" s="780"/>
      <c r="Y206" s="780"/>
      <c r="Z206" s="781"/>
    </row>
    <row r="207" spans="1:26" s="226" customFormat="1" ht="63.75" customHeight="1">
      <c r="A207" s="484"/>
      <c r="B207" s="484"/>
      <c r="C207" s="485"/>
      <c r="D207" s="349"/>
      <c r="E207" s="231"/>
      <c r="F207" s="348"/>
      <c r="G207" s="309">
        <f t="shared" si="58"/>
        <v>0</v>
      </c>
      <c r="H207" s="309">
        <f>'TERMINAL TRACTORS'!M75</f>
        <v>0</v>
      </c>
      <c r="I207" s="310">
        <f t="shared" si="65"/>
        <v>0</v>
      </c>
      <c r="J207" s="311">
        <f t="shared" si="61"/>
        <v>0</v>
      </c>
      <c r="K207" s="312">
        <f t="shared" si="62"/>
        <v>1440.0000000000091</v>
      </c>
      <c r="L207" s="313">
        <f t="shared" si="66"/>
        <v>100</v>
      </c>
      <c r="M207" s="350">
        <f>'TERMINAL TRACTORS'!N75</f>
        <v>0</v>
      </c>
      <c r="N207" s="309">
        <f t="shared" si="63"/>
        <v>0.99999999999999367</v>
      </c>
      <c r="O207" s="314" t="e">
        <f t="shared" si="64"/>
        <v>#DIV/0!</v>
      </c>
      <c r="P207" s="359"/>
      <c r="Q207" s="370"/>
      <c r="R207" s="358"/>
      <c r="S207" s="779" t="str">
        <f>CONCATENATE("TTT171: ",'TERMINAL TRACTORS'!B75,"_",'TERMINAL TRACTORS'!F75,"_",'TERMINAL TRACTORS'!J75)</f>
        <v>TTT171: NIL_NIL_NIL</v>
      </c>
      <c r="T207" s="780"/>
      <c r="U207" s="780"/>
      <c r="V207" s="780"/>
      <c r="W207" s="780"/>
      <c r="X207" s="780"/>
      <c r="Y207" s="780"/>
      <c r="Z207" s="781"/>
    </row>
    <row r="208" spans="1:26" s="226" customFormat="1" ht="63.75" customHeight="1">
      <c r="A208" s="484"/>
      <c r="B208" s="484"/>
      <c r="C208" s="485"/>
      <c r="D208" s="349"/>
      <c r="E208" s="231"/>
      <c r="F208" s="348"/>
      <c r="G208" s="309">
        <f t="shared" si="58"/>
        <v>0</v>
      </c>
      <c r="H208" s="309">
        <f>'TERMINAL TRACTORS'!M76</f>
        <v>0</v>
      </c>
      <c r="I208" s="310">
        <f t="shared" si="65"/>
        <v>0</v>
      </c>
      <c r="J208" s="311">
        <f t="shared" si="61"/>
        <v>0</v>
      </c>
      <c r="K208" s="312">
        <f t="shared" si="62"/>
        <v>1440.0000000000091</v>
      </c>
      <c r="L208" s="313">
        <f t="shared" si="66"/>
        <v>100</v>
      </c>
      <c r="M208" s="350">
        <f>'TERMINAL TRACTORS'!N76</f>
        <v>0</v>
      </c>
      <c r="N208" s="309">
        <f t="shared" si="63"/>
        <v>0.99999999999999367</v>
      </c>
      <c r="O208" s="314" t="e">
        <f t="shared" si="64"/>
        <v>#DIV/0!</v>
      </c>
      <c r="P208" s="359"/>
      <c r="Q208" s="370"/>
      <c r="R208" s="358"/>
      <c r="S208" s="779" t="str">
        <f>CONCATENATE("TTT172: ",'TERMINAL TRACTORS'!B76,"_",'TERMINAL TRACTORS'!F76,"_",'TERMINAL TRACTORS'!J76)</f>
        <v>TTT172: NIL_NIL_NIL</v>
      </c>
      <c r="T208" s="780"/>
      <c r="U208" s="780"/>
      <c r="V208" s="780"/>
      <c r="W208" s="780"/>
      <c r="X208" s="780"/>
      <c r="Y208" s="780"/>
      <c r="Z208" s="781"/>
    </row>
    <row r="209" spans="1:26" s="226" customFormat="1" ht="63.75" customHeight="1">
      <c r="A209" s="484"/>
      <c r="B209" s="484"/>
      <c r="C209" s="485"/>
      <c r="D209" s="349"/>
      <c r="E209" s="231"/>
      <c r="F209" s="348"/>
      <c r="G209" s="309">
        <f t="shared" si="58"/>
        <v>0</v>
      </c>
      <c r="H209" s="309">
        <f>'TERMINAL TRACTORS'!M77</f>
        <v>0</v>
      </c>
      <c r="I209" s="310">
        <f t="shared" si="65"/>
        <v>0</v>
      </c>
      <c r="J209" s="311">
        <f t="shared" si="61"/>
        <v>0</v>
      </c>
      <c r="K209" s="312">
        <f t="shared" si="62"/>
        <v>1440.0000000000091</v>
      </c>
      <c r="L209" s="313">
        <f t="shared" si="66"/>
        <v>100</v>
      </c>
      <c r="M209" s="350">
        <f>'TERMINAL TRACTORS'!N77</f>
        <v>0</v>
      </c>
      <c r="N209" s="309">
        <f t="shared" si="63"/>
        <v>0.99999999999999367</v>
      </c>
      <c r="O209" s="314" t="e">
        <f t="shared" si="64"/>
        <v>#DIV/0!</v>
      </c>
      <c r="P209" s="359"/>
      <c r="Q209" s="370"/>
      <c r="R209" s="358"/>
      <c r="S209" s="779" t="str">
        <f>CONCATENATE("TTT173: ",'TERMINAL TRACTORS'!B77,"_",'TERMINAL TRACTORS'!F77,"_",'TERMINAL TRACTORS'!J77)</f>
        <v>TTT173: NIL_NIL_NIL</v>
      </c>
      <c r="T209" s="780"/>
      <c r="U209" s="780"/>
      <c r="V209" s="780"/>
      <c r="W209" s="780"/>
      <c r="X209" s="780"/>
      <c r="Y209" s="780"/>
      <c r="Z209" s="781"/>
    </row>
    <row r="210" spans="1:26" s="226" customFormat="1" ht="63.75" customHeight="1">
      <c r="A210" s="484"/>
      <c r="B210" s="484"/>
      <c r="C210" s="485"/>
      <c r="D210" s="349"/>
      <c r="E210" s="231"/>
      <c r="F210" s="348"/>
      <c r="G210" s="309">
        <f t="shared" si="58"/>
        <v>0</v>
      </c>
      <c r="H210" s="309">
        <f>'TERMINAL TRACTORS'!M78</f>
        <v>0</v>
      </c>
      <c r="I210" s="310">
        <f t="shared" si="65"/>
        <v>0</v>
      </c>
      <c r="J210" s="311">
        <f t="shared" si="61"/>
        <v>0</v>
      </c>
      <c r="K210" s="312">
        <f t="shared" si="62"/>
        <v>1440.0000000000091</v>
      </c>
      <c r="L210" s="313">
        <f t="shared" si="66"/>
        <v>100</v>
      </c>
      <c r="M210" s="350">
        <f>'TERMINAL TRACTORS'!N78</f>
        <v>0</v>
      </c>
      <c r="N210" s="309">
        <f t="shared" si="63"/>
        <v>0.99999999999999367</v>
      </c>
      <c r="O210" s="314" t="e">
        <f t="shared" si="64"/>
        <v>#DIV/0!</v>
      </c>
      <c r="P210" s="359"/>
      <c r="Q210" s="370"/>
      <c r="R210" s="358"/>
      <c r="S210" s="779" t="str">
        <f>CONCATENATE("TTT174: ",'TERMINAL TRACTORS'!B78,"_",'TERMINAL TRACTORS'!F78,"_",'TERMINAL TRACTORS'!J78)</f>
        <v>TTT174: NIL_NIL_NIL</v>
      </c>
      <c r="T210" s="780"/>
      <c r="U210" s="780"/>
      <c r="V210" s="780"/>
      <c r="W210" s="780"/>
      <c r="X210" s="780"/>
      <c r="Y210" s="780"/>
      <c r="Z210" s="781"/>
    </row>
    <row r="211" spans="1:26" s="226" customFormat="1" ht="63.75" customHeight="1">
      <c r="A211" s="484"/>
      <c r="B211" s="484"/>
      <c r="C211" s="485"/>
      <c r="D211" s="349"/>
      <c r="E211" s="231"/>
      <c r="F211" s="348"/>
      <c r="G211" s="309">
        <f t="shared" si="58"/>
        <v>0</v>
      </c>
      <c r="H211" s="309">
        <f>'TERMINAL TRACTORS'!M79</f>
        <v>0</v>
      </c>
      <c r="I211" s="310">
        <f t="shared" si="65"/>
        <v>0</v>
      </c>
      <c r="J211" s="311">
        <f t="shared" si="61"/>
        <v>0</v>
      </c>
      <c r="K211" s="312">
        <f t="shared" si="62"/>
        <v>1440.0000000000091</v>
      </c>
      <c r="L211" s="313">
        <f t="shared" si="66"/>
        <v>100</v>
      </c>
      <c r="M211" s="350">
        <f>'TERMINAL TRACTORS'!N79</f>
        <v>0</v>
      </c>
      <c r="N211" s="309">
        <f t="shared" si="63"/>
        <v>0.99999999999999367</v>
      </c>
      <c r="O211" s="314" t="e">
        <f t="shared" si="64"/>
        <v>#DIV/0!</v>
      </c>
      <c r="P211" s="359"/>
      <c r="Q211" s="370"/>
      <c r="R211" s="358"/>
      <c r="S211" s="779" t="str">
        <f>CONCATENATE("TTT175: ",'TERMINAL TRACTORS'!B79,"_",'TERMINAL TRACTORS'!F79,"_",'TERMINAL TRACTORS'!J79)</f>
        <v>TTT175: NIL_NIL_NIL</v>
      </c>
      <c r="T211" s="780"/>
      <c r="U211" s="780"/>
      <c r="V211" s="780"/>
      <c r="W211" s="780"/>
      <c r="X211" s="780"/>
      <c r="Y211" s="780"/>
      <c r="Z211" s="781"/>
    </row>
    <row r="212" spans="1:26" s="226" customFormat="1" ht="63.75" customHeight="1">
      <c r="A212" s="484"/>
      <c r="B212" s="484"/>
      <c r="C212" s="485"/>
      <c r="D212" s="349"/>
      <c r="E212" s="231"/>
      <c r="F212" s="348"/>
      <c r="G212" s="309">
        <f t="shared" si="58"/>
        <v>0</v>
      </c>
      <c r="H212" s="309">
        <f>'TERMINAL TRACTORS'!M80</f>
        <v>0</v>
      </c>
      <c r="I212" s="310">
        <f t="shared" si="65"/>
        <v>0</v>
      </c>
      <c r="J212" s="311">
        <f t="shared" si="61"/>
        <v>0</v>
      </c>
      <c r="K212" s="312">
        <f t="shared" si="62"/>
        <v>1440.0000000000091</v>
      </c>
      <c r="L212" s="313">
        <f t="shared" si="66"/>
        <v>100</v>
      </c>
      <c r="M212" s="350">
        <f>'TERMINAL TRACTORS'!N80</f>
        <v>0</v>
      </c>
      <c r="N212" s="309">
        <f t="shared" si="63"/>
        <v>0.99999999999999367</v>
      </c>
      <c r="O212" s="314" t="e">
        <f t="shared" si="64"/>
        <v>#DIV/0!</v>
      </c>
      <c r="P212" s="359"/>
      <c r="Q212" s="370"/>
      <c r="R212" s="358"/>
      <c r="S212" s="779" t="str">
        <f>CONCATENATE("TTT176: ",'TERMINAL TRACTORS'!B80,"_",'TERMINAL TRACTORS'!F80,"_",'TERMINAL TRACTORS'!J80)</f>
        <v>TTT176: NIL_NIL_NIL</v>
      </c>
      <c r="T212" s="780"/>
      <c r="U212" s="780"/>
      <c r="V212" s="780"/>
      <c r="W212" s="780"/>
      <c r="X212" s="780"/>
      <c r="Y212" s="780"/>
      <c r="Z212" s="781"/>
    </row>
    <row r="213" spans="1:26" s="226" customFormat="1" ht="63.75" customHeight="1">
      <c r="A213" s="484"/>
      <c r="B213" s="484"/>
      <c r="C213" s="485"/>
      <c r="D213" s="349"/>
      <c r="E213" s="231"/>
      <c r="F213" s="348"/>
      <c r="G213" s="309">
        <f t="shared" si="58"/>
        <v>0</v>
      </c>
      <c r="H213" s="309">
        <f>'TERMINAL TRACTORS'!M81</f>
        <v>0</v>
      </c>
      <c r="I213" s="310">
        <f t="shared" si="65"/>
        <v>0</v>
      </c>
      <c r="J213" s="311">
        <f t="shared" si="61"/>
        <v>0</v>
      </c>
      <c r="K213" s="312">
        <f t="shared" si="62"/>
        <v>1440.0000000000091</v>
      </c>
      <c r="L213" s="313">
        <f t="shared" si="66"/>
        <v>100</v>
      </c>
      <c r="M213" s="350">
        <f>'TERMINAL TRACTORS'!N81</f>
        <v>0</v>
      </c>
      <c r="N213" s="309">
        <f t="shared" si="63"/>
        <v>0.99999999999999367</v>
      </c>
      <c r="O213" s="314" t="e">
        <f t="shared" si="64"/>
        <v>#DIV/0!</v>
      </c>
      <c r="P213" s="359"/>
      <c r="Q213" s="370"/>
      <c r="R213" s="358"/>
      <c r="S213" s="779" t="str">
        <f>CONCATENATE("TTT177: ",'TERMINAL TRACTORS'!B81,"_",'TERMINAL TRACTORS'!F81,"_",'TERMINAL TRACTORS'!J81)</f>
        <v>TTT177: NIL_NIL_NIL</v>
      </c>
      <c r="T213" s="780"/>
      <c r="U213" s="780"/>
      <c r="V213" s="780"/>
      <c r="W213" s="780"/>
      <c r="X213" s="780"/>
      <c r="Y213" s="780"/>
      <c r="Z213" s="781"/>
    </row>
    <row r="214" spans="1:26" s="226" customFormat="1" ht="63.75" customHeight="1">
      <c r="A214" s="484"/>
      <c r="B214" s="484"/>
      <c r="C214" s="485"/>
      <c r="D214" s="349"/>
      <c r="E214" s="231"/>
      <c r="F214" s="348"/>
      <c r="G214" s="309">
        <f t="shared" si="58"/>
        <v>0</v>
      </c>
      <c r="H214" s="309">
        <f>'TERMINAL TRACTORS'!M82</f>
        <v>0</v>
      </c>
      <c r="I214" s="310">
        <f t="shared" si="65"/>
        <v>0</v>
      </c>
      <c r="J214" s="311">
        <f t="shared" si="61"/>
        <v>0</v>
      </c>
      <c r="K214" s="312">
        <f t="shared" si="62"/>
        <v>1440.0000000000091</v>
      </c>
      <c r="L214" s="313">
        <f t="shared" si="66"/>
        <v>100</v>
      </c>
      <c r="M214" s="350">
        <f>'TERMINAL TRACTORS'!N82</f>
        <v>0</v>
      </c>
      <c r="N214" s="309">
        <f t="shared" si="63"/>
        <v>0.99999999999999367</v>
      </c>
      <c r="O214" s="314" t="e">
        <f t="shared" si="64"/>
        <v>#DIV/0!</v>
      </c>
      <c r="P214" s="359"/>
      <c r="Q214" s="370"/>
      <c r="R214" s="358"/>
      <c r="S214" s="779" t="str">
        <f>CONCATENATE("TTT178: ",'TERMINAL TRACTORS'!B82,"_",'TERMINAL TRACTORS'!F82,"_",'TERMINAL TRACTORS'!J82)</f>
        <v>TTT178: NIL_NIL_NIL</v>
      </c>
      <c r="T214" s="780"/>
      <c r="U214" s="780"/>
      <c r="V214" s="780"/>
      <c r="W214" s="780"/>
      <c r="X214" s="780"/>
      <c r="Y214" s="780"/>
      <c r="Z214" s="781"/>
    </row>
    <row r="215" spans="1:26" s="226" customFormat="1" ht="63.6" customHeight="1">
      <c r="A215" s="484"/>
      <c r="B215" s="484"/>
      <c r="C215" s="485"/>
      <c r="D215" s="349"/>
      <c r="E215" s="231"/>
      <c r="F215" s="348"/>
      <c r="G215" s="309">
        <f t="shared" si="58"/>
        <v>0</v>
      </c>
      <c r="H215" s="309">
        <f>'TERMINAL TRACTORS'!M83</f>
        <v>0</v>
      </c>
      <c r="I215" s="310">
        <f t="shared" si="65"/>
        <v>0</v>
      </c>
      <c r="J215" s="311">
        <f t="shared" si="61"/>
        <v>0</v>
      </c>
      <c r="K215" s="312">
        <f t="shared" si="62"/>
        <v>1440.0000000000091</v>
      </c>
      <c r="L215" s="313">
        <f t="shared" si="66"/>
        <v>100</v>
      </c>
      <c r="M215" s="350">
        <f>'TERMINAL TRACTORS'!N83</f>
        <v>0</v>
      </c>
      <c r="N215" s="309">
        <f t="shared" si="63"/>
        <v>0.99999999999999367</v>
      </c>
      <c r="O215" s="314" t="e">
        <f t="shared" si="64"/>
        <v>#DIV/0!</v>
      </c>
      <c r="P215" s="359"/>
      <c r="Q215" s="370"/>
      <c r="R215" s="358"/>
      <c r="S215" s="779" t="str">
        <f>CONCATENATE("TTT179: ",'TERMINAL TRACTORS'!B83,"_",'TERMINAL TRACTORS'!F83,"_",'TERMINAL TRACTORS'!J83)</f>
        <v>TTT179: NIL_NIL_NIL</v>
      </c>
      <c r="T215" s="780"/>
      <c r="U215" s="780"/>
      <c r="V215" s="780"/>
      <c r="W215" s="780"/>
      <c r="X215" s="780"/>
      <c r="Y215" s="780"/>
      <c r="Z215" s="781"/>
    </row>
    <row r="216" spans="1:26" s="226" customFormat="1" ht="63.75" customHeight="1">
      <c r="A216" s="484"/>
      <c r="B216" s="484"/>
      <c r="C216" s="485"/>
      <c r="D216" s="349"/>
      <c r="E216" s="231"/>
      <c r="F216" s="348"/>
      <c r="G216" s="309">
        <f t="shared" si="58"/>
        <v>0</v>
      </c>
      <c r="H216" s="309">
        <f>'TERMINAL TRACTORS'!M84</f>
        <v>0</v>
      </c>
      <c r="I216" s="310">
        <f t="shared" si="65"/>
        <v>0</v>
      </c>
      <c r="J216" s="311">
        <f t="shared" si="61"/>
        <v>0</v>
      </c>
      <c r="K216" s="312">
        <f t="shared" si="62"/>
        <v>1440.0000000000091</v>
      </c>
      <c r="L216" s="313">
        <f t="shared" si="66"/>
        <v>100</v>
      </c>
      <c r="M216" s="350">
        <f>'TERMINAL TRACTORS'!N84</f>
        <v>0</v>
      </c>
      <c r="N216" s="309">
        <f t="shared" si="63"/>
        <v>0.99999999999999367</v>
      </c>
      <c r="O216" s="314" t="e">
        <f t="shared" si="64"/>
        <v>#DIV/0!</v>
      </c>
      <c r="P216" s="359"/>
      <c r="Q216" s="370"/>
      <c r="R216" s="358"/>
      <c r="S216" s="779" t="str">
        <f>CONCATENATE("TTT182: ",'TERMINAL TRACTORS'!B84,"_",'TERMINAL TRACTORS'!F84,"_",'TERMINAL TRACTORS'!J84)</f>
        <v>TTT182: NIL_NIL_NIL</v>
      </c>
      <c r="T216" s="780"/>
      <c r="U216" s="780"/>
      <c r="V216" s="780"/>
      <c r="W216" s="780"/>
      <c r="X216" s="780"/>
      <c r="Y216" s="780"/>
      <c r="Z216" s="781"/>
    </row>
    <row r="217" spans="1:26" s="226" customFormat="1" ht="63.75" customHeight="1">
      <c r="A217" s="484"/>
      <c r="B217" s="484"/>
      <c r="C217" s="485"/>
      <c r="D217" s="349"/>
      <c r="E217" s="231"/>
      <c r="F217" s="348"/>
      <c r="G217" s="309">
        <f t="shared" si="58"/>
        <v>0</v>
      </c>
      <c r="H217" s="309">
        <f>'TERMINAL TRACTORS'!M85</f>
        <v>0</v>
      </c>
      <c r="I217" s="310">
        <f t="shared" si="65"/>
        <v>0</v>
      </c>
      <c r="J217" s="311">
        <f t="shared" si="61"/>
        <v>0</v>
      </c>
      <c r="K217" s="312">
        <f t="shared" si="62"/>
        <v>1440.0000000000091</v>
      </c>
      <c r="L217" s="313">
        <f t="shared" si="66"/>
        <v>100</v>
      </c>
      <c r="M217" s="350">
        <f>'TERMINAL TRACTORS'!N85</f>
        <v>0</v>
      </c>
      <c r="N217" s="309">
        <f t="shared" si="63"/>
        <v>0.99999999999999367</v>
      </c>
      <c r="O217" s="314" t="e">
        <f t="shared" si="64"/>
        <v>#DIV/0!</v>
      </c>
      <c r="P217" s="359"/>
      <c r="Q217" s="370"/>
      <c r="R217" s="358"/>
      <c r="S217" s="779" t="str">
        <f>CONCATENATE("TTT183: ",'TERMINAL TRACTORS'!B85,"_",'TERMINAL TRACTORS'!F85,"_",'TERMINAL TRACTORS'!J85)</f>
        <v>TTT183: NIL_NIL_NIL</v>
      </c>
      <c r="T217" s="780"/>
      <c r="U217" s="780"/>
      <c r="V217" s="780"/>
      <c r="W217" s="780"/>
      <c r="X217" s="780"/>
      <c r="Y217" s="780"/>
      <c r="Z217" s="781"/>
    </row>
    <row r="218" spans="1:26" s="226" customFormat="1" ht="63.75" customHeight="1">
      <c r="A218" s="484"/>
      <c r="B218" s="484"/>
      <c r="C218" s="485"/>
      <c r="D218" s="349"/>
      <c r="E218" s="231"/>
      <c r="F218" s="348"/>
      <c r="G218" s="309">
        <f t="shared" si="58"/>
        <v>0</v>
      </c>
      <c r="H218" s="309">
        <f>'TERMINAL TRACTORS'!M86</f>
        <v>0</v>
      </c>
      <c r="I218" s="310">
        <f t="shared" si="65"/>
        <v>0</v>
      </c>
      <c r="J218" s="311">
        <f t="shared" si="61"/>
        <v>0</v>
      </c>
      <c r="K218" s="312">
        <f t="shared" si="62"/>
        <v>1440.0000000000091</v>
      </c>
      <c r="L218" s="313">
        <f t="shared" si="66"/>
        <v>100</v>
      </c>
      <c r="M218" s="350">
        <f>'TERMINAL TRACTORS'!N86</f>
        <v>0</v>
      </c>
      <c r="N218" s="309">
        <f t="shared" si="63"/>
        <v>0.99999999999999367</v>
      </c>
      <c r="O218" s="314" t="e">
        <f t="shared" si="64"/>
        <v>#DIV/0!</v>
      </c>
      <c r="P218" s="359"/>
      <c r="Q218" s="370"/>
      <c r="R218" s="358"/>
      <c r="S218" s="779" t="str">
        <f>CONCATENATE("TTT185: ",'TERMINAL TRACTORS'!B86,"_",'TERMINAL TRACTORS'!F86,"_",'TERMINAL TRACTORS'!J86)</f>
        <v>TTT185: NIL_NIL_NIL</v>
      </c>
      <c r="T218" s="780"/>
      <c r="U218" s="780"/>
      <c r="V218" s="780"/>
      <c r="W218" s="780"/>
      <c r="X218" s="780"/>
      <c r="Y218" s="780"/>
      <c r="Z218" s="781"/>
    </row>
    <row r="219" spans="1:26" s="226" customFormat="1" ht="63.75" customHeight="1">
      <c r="A219" s="484"/>
      <c r="B219" s="484"/>
      <c r="C219" s="485"/>
      <c r="D219" s="349"/>
      <c r="E219" s="231"/>
      <c r="F219" s="348"/>
      <c r="G219" s="309">
        <f t="shared" si="58"/>
        <v>0</v>
      </c>
      <c r="H219" s="309">
        <f>'TERMINAL TRACTORS'!M87</f>
        <v>0</v>
      </c>
      <c r="I219" s="310">
        <f t="shared" si="65"/>
        <v>0</v>
      </c>
      <c r="J219" s="311">
        <f t="shared" si="61"/>
        <v>0</v>
      </c>
      <c r="K219" s="312">
        <f t="shared" si="62"/>
        <v>1440.0000000000091</v>
      </c>
      <c r="L219" s="313">
        <f t="shared" si="66"/>
        <v>100</v>
      </c>
      <c r="M219" s="350">
        <f>'TERMINAL TRACTORS'!N87</f>
        <v>0</v>
      </c>
      <c r="N219" s="309">
        <f t="shared" si="63"/>
        <v>0.99999999999999367</v>
      </c>
      <c r="O219" s="314" t="e">
        <f t="shared" si="64"/>
        <v>#DIV/0!</v>
      </c>
      <c r="P219" s="359"/>
      <c r="Q219" s="370"/>
      <c r="R219" s="358"/>
      <c r="S219" s="779" t="str">
        <f>CONCATENATE("TTT186: ",'TERMINAL TRACTORS'!B87,"_",'TERMINAL TRACTORS'!F87,"_",'TERMINAL TRACTORS'!J87)</f>
        <v>TTT186: NIL_NIL_NIL</v>
      </c>
      <c r="T219" s="780"/>
      <c r="U219" s="780"/>
      <c r="V219" s="780"/>
      <c r="W219" s="780"/>
      <c r="X219" s="780"/>
      <c r="Y219" s="780"/>
      <c r="Z219" s="781"/>
    </row>
    <row r="220" spans="1:26" s="226" customFormat="1" ht="63.75" customHeight="1">
      <c r="A220" s="484"/>
      <c r="B220" s="484"/>
      <c r="C220" s="485"/>
      <c r="D220" s="349"/>
      <c r="E220" s="231"/>
      <c r="F220" s="348"/>
      <c r="G220" s="309">
        <f t="shared" si="58"/>
        <v>0</v>
      </c>
      <c r="H220" s="309">
        <f>'TERMINAL TRACTORS'!M88</f>
        <v>0</v>
      </c>
      <c r="I220" s="310">
        <f t="shared" si="65"/>
        <v>0</v>
      </c>
      <c r="J220" s="311">
        <f t="shared" si="61"/>
        <v>0</v>
      </c>
      <c r="K220" s="312">
        <f t="shared" si="62"/>
        <v>1440.0000000000091</v>
      </c>
      <c r="L220" s="313">
        <f t="shared" si="66"/>
        <v>100</v>
      </c>
      <c r="M220" s="350">
        <f>'TERMINAL TRACTORS'!N88</f>
        <v>0</v>
      </c>
      <c r="N220" s="309">
        <f t="shared" si="63"/>
        <v>0.99999999999999367</v>
      </c>
      <c r="O220" s="314" t="e">
        <f t="shared" si="64"/>
        <v>#DIV/0!</v>
      </c>
      <c r="P220" s="359"/>
      <c r="Q220" s="370"/>
      <c r="R220" s="358"/>
      <c r="S220" s="779" t="str">
        <f>CONCATENATE("TTT187: ",'TERMINAL TRACTORS'!B88,"_",'TERMINAL TRACTORS'!F88,"_",'TERMINAL TRACTORS'!J88)</f>
        <v>TTT187: NIL_NIL_NIL</v>
      </c>
      <c r="T220" s="780"/>
      <c r="U220" s="780"/>
      <c r="V220" s="780"/>
      <c r="W220" s="780"/>
      <c r="X220" s="780"/>
      <c r="Y220" s="780"/>
      <c r="Z220" s="781"/>
    </row>
    <row r="221" spans="1:26" s="226" customFormat="1" ht="63.75" customHeight="1">
      <c r="A221" s="484"/>
      <c r="B221" s="484"/>
      <c r="C221" s="485"/>
      <c r="D221" s="349"/>
      <c r="E221" s="231"/>
      <c r="F221" s="348"/>
      <c r="G221" s="309">
        <f t="shared" si="58"/>
        <v>2.708333333333333</v>
      </c>
      <c r="H221" s="309">
        <f>'TERMINAL TRACTORS'!M89</f>
        <v>4.5138888888888881E-2</v>
      </c>
      <c r="I221" s="310">
        <f t="shared" si="65"/>
        <v>4.5138888888888881E-2</v>
      </c>
      <c r="J221" s="311">
        <f t="shared" si="61"/>
        <v>65.000000000000398</v>
      </c>
      <c r="K221" s="312">
        <f t="shared" si="62"/>
        <v>1375.0000000000089</v>
      </c>
      <c r="L221" s="313">
        <f t="shared" si="66"/>
        <v>95.486111111111086</v>
      </c>
      <c r="M221" s="350">
        <f>'TERMINAL TRACTORS'!N89</f>
        <v>3</v>
      </c>
      <c r="N221" s="309">
        <f t="shared" si="63"/>
        <v>0.23871527777777618</v>
      </c>
      <c r="O221" s="314">
        <f t="shared" si="64"/>
        <v>1.5046296296294148E-2</v>
      </c>
      <c r="P221" s="359"/>
      <c r="Q221" s="370"/>
      <c r="R221" s="358"/>
      <c r="S221" s="746" t="str">
        <f>CONCATENATE("TTT188: ",'TERMINAL TRACTORS'!B89,"_",'TERMINAL TRACTORS'!F89,"_",'TERMINAL TRACTORS'!J89)</f>
        <v>TTT188: ENGINE STARTING_5TH WHEEL FAULT_STARTING</v>
      </c>
      <c r="T221" s="746"/>
      <c r="U221" s="746"/>
      <c r="V221" s="746"/>
      <c r="W221" s="746"/>
      <c r="X221" s="746"/>
      <c r="Y221" s="746"/>
      <c r="Z221" s="746"/>
    </row>
    <row r="222" spans="1:26" s="226" customFormat="1" ht="63.75" customHeight="1">
      <c r="A222" s="484"/>
      <c r="B222" s="484"/>
      <c r="C222" s="485"/>
      <c r="D222" s="349"/>
      <c r="E222" s="231"/>
      <c r="F222" s="348"/>
      <c r="G222" s="309">
        <f t="shared" ref="G222:G256" si="67">CONVERT(H222,"hr","min")</f>
        <v>0</v>
      </c>
      <c r="H222" s="309">
        <f>'TERMINAL TRACTORS'!M90</f>
        <v>0</v>
      </c>
      <c r="I222" s="310">
        <f t="shared" si="65"/>
        <v>0</v>
      </c>
      <c r="J222" s="311">
        <f t="shared" si="61"/>
        <v>0</v>
      </c>
      <c r="K222" s="312">
        <f t="shared" si="62"/>
        <v>1440.0000000000091</v>
      </c>
      <c r="L222" s="313">
        <f t="shared" si="66"/>
        <v>100</v>
      </c>
      <c r="M222" s="350">
        <f>'TERMINAL TRACTORS'!N90</f>
        <v>0</v>
      </c>
      <c r="N222" s="309">
        <f t="shared" si="63"/>
        <v>0.99999999999999367</v>
      </c>
      <c r="O222" s="309" t="e">
        <f t="shared" si="64"/>
        <v>#DIV/0!</v>
      </c>
      <c r="P222" s="370"/>
      <c r="Q222" s="370"/>
      <c r="R222" s="358"/>
      <c r="S222" s="746" t="str">
        <f>CONCATENATE("TTT189: ",'TERMINAL TRACTORS'!B90,"_",'TERMINAL TRACTORS'!F90,"_",'TERMINAL TRACTORS'!J90)</f>
        <v>TTT189: NIL_NIL_NIL</v>
      </c>
      <c r="T222" s="746"/>
      <c r="U222" s="746"/>
      <c r="V222" s="746"/>
      <c r="W222" s="746"/>
      <c r="X222" s="746"/>
      <c r="Y222" s="746"/>
      <c r="Z222" s="746"/>
    </row>
    <row r="223" spans="1:26" s="226" customFormat="1" ht="63.75" customHeight="1">
      <c r="A223" s="484"/>
      <c r="B223" s="484"/>
      <c r="C223" s="485"/>
      <c r="D223" s="349"/>
      <c r="E223" s="231"/>
      <c r="F223" s="348"/>
      <c r="G223" s="309">
        <f t="shared" si="67"/>
        <v>0</v>
      </c>
      <c r="H223" s="309">
        <f>'TERMINAL TRACTORS'!M91</f>
        <v>0</v>
      </c>
      <c r="I223" s="310">
        <f t="shared" si="65"/>
        <v>0</v>
      </c>
      <c r="J223" s="311">
        <f t="shared" si="61"/>
        <v>0</v>
      </c>
      <c r="K223" s="312">
        <f t="shared" si="62"/>
        <v>1440.0000000000091</v>
      </c>
      <c r="L223" s="313">
        <f t="shared" si="66"/>
        <v>100</v>
      </c>
      <c r="M223" s="350">
        <f>'TERMINAL TRACTORS'!N91</f>
        <v>0</v>
      </c>
      <c r="N223" s="309">
        <f t="shared" si="63"/>
        <v>0.99999999999999367</v>
      </c>
      <c r="O223" s="309" t="e">
        <f t="shared" si="64"/>
        <v>#DIV/0!</v>
      </c>
      <c r="P223" s="370"/>
      <c r="Q223" s="370"/>
      <c r="R223" s="370"/>
      <c r="S223" s="746" t="str">
        <f>CONCATENATE("TTT190: ",'TERMINAL TRACTORS'!B91,"_",'TERMINAL TRACTORS'!F91,"_",'TERMINAL TRACTORS'!J91)</f>
        <v>TTT190: NIL_NIL_NIL</v>
      </c>
      <c r="T223" s="746"/>
      <c r="U223" s="746"/>
      <c r="V223" s="746"/>
      <c r="W223" s="746"/>
      <c r="X223" s="746"/>
      <c r="Y223" s="746"/>
      <c r="Z223" s="746"/>
    </row>
    <row r="224" spans="1:26" s="226" customFormat="1" ht="63.75" customHeight="1">
      <c r="A224" s="484"/>
      <c r="B224" s="484"/>
      <c r="C224" s="485"/>
      <c r="D224" s="349"/>
      <c r="E224" s="231"/>
      <c r="F224" s="231"/>
      <c r="G224" s="309">
        <f t="shared" si="67"/>
        <v>0</v>
      </c>
      <c r="H224" s="309">
        <f>'TERMINAL TRACTORS'!M92</f>
        <v>0</v>
      </c>
      <c r="I224" s="310">
        <f t="shared" si="65"/>
        <v>0</v>
      </c>
      <c r="J224" s="311">
        <f t="shared" si="61"/>
        <v>0</v>
      </c>
      <c r="K224" s="312">
        <f t="shared" si="62"/>
        <v>1440.0000000000091</v>
      </c>
      <c r="L224" s="313">
        <f t="shared" si="66"/>
        <v>100</v>
      </c>
      <c r="M224" s="350">
        <f>'TERMINAL TRACTORS'!N92</f>
        <v>0</v>
      </c>
      <c r="N224" s="309">
        <f t="shared" si="63"/>
        <v>0.99999999999999367</v>
      </c>
      <c r="O224" s="309" t="e">
        <f t="shared" si="64"/>
        <v>#DIV/0!</v>
      </c>
      <c r="P224" s="370"/>
      <c r="Q224" s="370"/>
      <c r="R224" s="370"/>
      <c r="S224" s="746" t="str">
        <f>CONCATENATE("TTT241: ",'TERMINAL TRACTORS'!B92,"_",'TERMINAL TRACTORS'!F92,"_",'TERMINAL TRACTORS'!J92)</f>
        <v>TTT241: NIL_NIL_NIL</v>
      </c>
      <c r="T224" s="746"/>
      <c r="U224" s="746"/>
      <c r="V224" s="746"/>
      <c r="W224" s="746"/>
      <c r="X224" s="746"/>
      <c r="Y224" s="746"/>
      <c r="Z224" s="746"/>
    </row>
    <row r="225" spans="1:26" s="226" customFormat="1" ht="63.75" customHeight="1">
      <c r="A225" s="484"/>
      <c r="B225" s="484"/>
      <c r="C225" s="485"/>
      <c r="D225" s="349"/>
      <c r="E225" s="231"/>
      <c r="F225" s="231"/>
      <c r="G225" s="309">
        <f t="shared" si="67"/>
        <v>0</v>
      </c>
      <c r="H225" s="309">
        <f>'TERMINAL TRACTORS'!M93</f>
        <v>0</v>
      </c>
      <c r="I225" s="310">
        <f t="shared" si="65"/>
        <v>0</v>
      </c>
      <c r="J225" s="311">
        <f t="shared" si="61"/>
        <v>0</v>
      </c>
      <c r="K225" s="312">
        <f t="shared" si="62"/>
        <v>1440.0000000000091</v>
      </c>
      <c r="L225" s="313">
        <f t="shared" si="66"/>
        <v>100</v>
      </c>
      <c r="M225" s="350">
        <f>'TERMINAL TRACTORS'!N93</f>
        <v>0</v>
      </c>
      <c r="N225" s="309">
        <f t="shared" si="63"/>
        <v>0.99999999999999367</v>
      </c>
      <c r="O225" s="309" t="e">
        <f t="shared" si="64"/>
        <v>#DIV/0!</v>
      </c>
      <c r="P225" s="370"/>
      <c r="Q225" s="370"/>
      <c r="R225" s="370"/>
      <c r="S225" s="746" t="str">
        <f>CONCATENATE("TTT242: ",'TERMINAL TRACTORS'!B93,"_",'TERMINAL TRACTORS'!F93,"_",'TERMINAL TRACTORS'!J93)</f>
        <v>TTT242: NIL_NIL_NIL</v>
      </c>
      <c r="T225" s="746"/>
      <c r="U225" s="746"/>
      <c r="V225" s="746"/>
      <c r="W225" s="746"/>
      <c r="X225" s="746"/>
      <c r="Y225" s="746"/>
      <c r="Z225" s="746"/>
    </row>
    <row r="226" spans="1:26" s="226" customFormat="1" ht="63.75" customHeight="1">
      <c r="A226" s="484"/>
      <c r="B226" s="484"/>
      <c r="C226" s="485"/>
      <c r="D226" s="349"/>
      <c r="E226" s="231"/>
      <c r="F226" s="231"/>
      <c r="G226" s="309">
        <f t="shared" si="67"/>
        <v>0</v>
      </c>
      <c r="H226" s="309">
        <f>'TERMINAL TRACTORS'!M94</f>
        <v>0</v>
      </c>
      <c r="I226" s="310">
        <f t="shared" si="65"/>
        <v>0</v>
      </c>
      <c r="J226" s="311">
        <f t="shared" si="61"/>
        <v>0</v>
      </c>
      <c r="K226" s="312">
        <f t="shared" si="62"/>
        <v>1440.0000000000091</v>
      </c>
      <c r="L226" s="313">
        <f t="shared" si="66"/>
        <v>100</v>
      </c>
      <c r="M226" s="350">
        <f>'TERMINAL TRACTORS'!N94</f>
        <v>0</v>
      </c>
      <c r="N226" s="309">
        <f t="shared" si="63"/>
        <v>0.99999999999999367</v>
      </c>
      <c r="O226" s="309" t="e">
        <f t="shared" si="64"/>
        <v>#DIV/0!</v>
      </c>
      <c r="P226" s="370"/>
      <c r="Q226" s="370"/>
      <c r="R226" s="370"/>
      <c r="S226" s="746" t="str">
        <f>CONCATENATE("TTT243: ",'TERMINAL TRACTORS'!B94,"_",'TERMINAL TRACTORS'!F94,"_",'TERMINAL TRACTORS'!J94)</f>
        <v>TTT243: NIL_NIL_NIL</v>
      </c>
      <c r="T226" s="746"/>
      <c r="U226" s="746"/>
      <c r="V226" s="746"/>
      <c r="W226" s="746"/>
      <c r="X226" s="746"/>
      <c r="Y226" s="746"/>
      <c r="Z226" s="746"/>
    </row>
    <row r="227" spans="1:26" s="226" customFormat="1" ht="63.75" customHeight="1">
      <c r="A227" s="484"/>
      <c r="B227" s="484"/>
      <c r="C227" s="485"/>
      <c r="D227" s="349"/>
      <c r="E227" s="231"/>
      <c r="F227" s="231"/>
      <c r="G227" s="309">
        <f t="shared" si="67"/>
        <v>0</v>
      </c>
      <c r="H227" s="309">
        <f>'TERMINAL TRACTORS'!M95</f>
        <v>0</v>
      </c>
      <c r="I227" s="310">
        <f t="shared" si="65"/>
        <v>0</v>
      </c>
      <c r="J227" s="311">
        <f t="shared" si="61"/>
        <v>0</v>
      </c>
      <c r="K227" s="312">
        <f t="shared" si="62"/>
        <v>1440.0000000000091</v>
      </c>
      <c r="L227" s="313">
        <f t="shared" si="66"/>
        <v>100</v>
      </c>
      <c r="M227" s="350">
        <f>'TERMINAL TRACTORS'!N95</f>
        <v>0</v>
      </c>
      <c r="N227" s="309">
        <f t="shared" si="63"/>
        <v>0.99999999999999367</v>
      </c>
      <c r="O227" s="309" t="e">
        <f t="shared" si="64"/>
        <v>#DIV/0!</v>
      </c>
      <c r="P227" s="370"/>
      <c r="Q227" s="370"/>
      <c r="R227" s="370"/>
      <c r="S227" s="746" t="str">
        <f>CONCATENATE("TTT244: ",'TERMINAL TRACTORS'!B95,"_",'TERMINAL TRACTORS'!F95,"_",'TERMINAL TRACTORS'!J95)</f>
        <v>TTT244: NIL_NIL_NIL</v>
      </c>
      <c r="T227" s="746"/>
      <c r="U227" s="746"/>
      <c r="V227" s="746"/>
      <c r="W227" s="746"/>
      <c r="X227" s="746"/>
      <c r="Y227" s="746"/>
      <c r="Z227" s="746"/>
    </row>
    <row r="228" spans="1:26" s="226" customFormat="1" ht="63.6" customHeight="1">
      <c r="A228" s="484"/>
      <c r="B228" s="484"/>
      <c r="C228" s="485"/>
      <c r="D228" s="349"/>
      <c r="E228" s="231"/>
      <c r="F228" s="231"/>
      <c r="G228" s="309">
        <f t="shared" si="67"/>
        <v>0</v>
      </c>
      <c r="H228" s="309">
        <f>'TERMINAL TRACTORS'!M96</f>
        <v>0</v>
      </c>
      <c r="I228" s="310">
        <f t="shared" si="65"/>
        <v>0</v>
      </c>
      <c r="J228" s="311">
        <f t="shared" si="61"/>
        <v>0</v>
      </c>
      <c r="K228" s="312">
        <f t="shared" si="62"/>
        <v>1440.0000000000091</v>
      </c>
      <c r="L228" s="313">
        <f t="shared" si="66"/>
        <v>100</v>
      </c>
      <c r="M228" s="350">
        <f>'TERMINAL TRACTORS'!N96</f>
        <v>0</v>
      </c>
      <c r="N228" s="309">
        <f t="shared" si="63"/>
        <v>0.99999999999999367</v>
      </c>
      <c r="O228" s="309" t="e">
        <f t="shared" si="64"/>
        <v>#DIV/0!</v>
      </c>
      <c r="P228" s="370"/>
      <c r="Q228" s="370"/>
      <c r="R228" s="370"/>
      <c r="S228" s="746" t="str">
        <f>CONCATENATE("TTT245: ",'TERMINAL TRACTORS'!B96,"_",'TERMINAL TRACTORS'!F96,"_",'TERMINAL TRACTORS'!J96)</f>
        <v>TTT245: NIL_NIL_NIL</v>
      </c>
      <c r="T228" s="746"/>
      <c r="U228" s="746"/>
      <c r="V228" s="746"/>
      <c r="W228" s="746"/>
      <c r="X228" s="746"/>
      <c r="Y228" s="746"/>
      <c r="Z228" s="746"/>
    </row>
    <row r="229" spans="1:26" s="226" customFormat="1" ht="63.75" customHeight="1">
      <c r="A229" s="484"/>
      <c r="B229" s="484"/>
      <c r="C229" s="485"/>
      <c r="D229" s="349"/>
      <c r="E229" s="231"/>
      <c r="F229" s="231"/>
      <c r="G229" s="309">
        <f t="shared" si="67"/>
        <v>0</v>
      </c>
      <c r="H229" s="309">
        <f>'TERMINAL TRACTORS'!M97</f>
        <v>0</v>
      </c>
      <c r="I229" s="310">
        <f t="shared" si="65"/>
        <v>0</v>
      </c>
      <c r="J229" s="311">
        <f t="shared" si="61"/>
        <v>0</v>
      </c>
      <c r="K229" s="312">
        <f t="shared" si="62"/>
        <v>1440.0000000000091</v>
      </c>
      <c r="L229" s="313">
        <f t="shared" si="66"/>
        <v>100</v>
      </c>
      <c r="M229" s="350">
        <f>'TERMINAL TRACTORS'!N97</f>
        <v>0</v>
      </c>
      <c r="N229" s="309">
        <f t="shared" si="63"/>
        <v>0.99999999999999367</v>
      </c>
      <c r="O229" s="309" t="e">
        <f t="shared" si="64"/>
        <v>#DIV/0!</v>
      </c>
      <c r="P229" s="370"/>
      <c r="Q229" s="370"/>
      <c r="R229" s="370"/>
      <c r="S229" s="746" t="str">
        <f>CONCATENATE("TTT247: ",'TERMINAL TRACTORS'!B97,"_",'TERMINAL TRACTORS'!F97,"_",'TERMINAL TRACTORS'!J97)</f>
        <v>TTT247: NIL_NIL_NIL</v>
      </c>
      <c r="T229" s="746"/>
      <c r="U229" s="746"/>
      <c r="V229" s="746"/>
      <c r="W229" s="746"/>
      <c r="X229" s="746"/>
      <c r="Y229" s="746"/>
      <c r="Z229" s="746"/>
    </row>
    <row r="230" spans="1:26" s="226" customFormat="1" ht="63.75" customHeight="1">
      <c r="A230" s="484"/>
      <c r="B230" s="484"/>
      <c r="C230" s="485"/>
      <c r="D230" s="349"/>
      <c r="E230" s="231"/>
      <c r="F230" s="231"/>
      <c r="G230" s="309">
        <f t="shared" si="67"/>
        <v>60</v>
      </c>
      <c r="H230" s="309">
        <f>'TERMINAL TRACTORS'!M98</f>
        <v>1</v>
      </c>
      <c r="I230" s="310">
        <f t="shared" si="65"/>
        <v>1</v>
      </c>
      <c r="J230" s="311">
        <f t="shared" si="61"/>
        <v>1440.0000000000091</v>
      </c>
      <c r="K230" s="312">
        <f t="shared" si="62"/>
        <v>0</v>
      </c>
      <c r="L230" s="313">
        <f t="shared" si="66"/>
        <v>-6.3159354289786681E-13</v>
      </c>
      <c r="M230" s="350">
        <f>'TERMINAL TRACTORS'!N98</f>
        <v>0</v>
      </c>
      <c r="N230" s="309">
        <f t="shared" si="63"/>
        <v>-6.3159354289786285E-15</v>
      </c>
      <c r="O230" s="309" t="e">
        <f t="shared" si="64"/>
        <v>#DIV/0!</v>
      </c>
      <c r="P230" s="370"/>
      <c r="Q230" s="370"/>
      <c r="R230" s="370"/>
      <c r="S230" s="746" t="str">
        <f>CONCATENATE("TTT248: ",'TERMINAL TRACTORS'!B98,"_",'TERMINAL TRACTORS'!F98,"_",'TERMINAL TRACTORS'!J98)</f>
        <v>TTT248: PARKING BRAKES -OUT_OUT_OUT</v>
      </c>
      <c r="T230" s="746"/>
      <c r="U230" s="746"/>
      <c r="V230" s="746"/>
      <c r="W230" s="746"/>
      <c r="X230" s="746"/>
      <c r="Y230" s="746"/>
      <c r="Z230" s="746"/>
    </row>
    <row r="231" spans="1:26" s="226" customFormat="1" ht="63.75" customHeight="1">
      <c r="A231" s="484"/>
      <c r="B231" s="484"/>
      <c r="C231" s="485"/>
      <c r="D231" s="349"/>
      <c r="E231" s="231"/>
      <c r="F231" s="231"/>
      <c r="G231" s="309">
        <f t="shared" si="67"/>
        <v>0</v>
      </c>
      <c r="H231" s="309">
        <f>'TERMINAL TRACTORS'!M99</f>
        <v>0</v>
      </c>
      <c r="I231" s="310">
        <f t="shared" si="65"/>
        <v>0</v>
      </c>
      <c r="J231" s="311">
        <f t="shared" si="61"/>
        <v>0</v>
      </c>
      <c r="K231" s="312">
        <f t="shared" si="62"/>
        <v>1440.0000000000091</v>
      </c>
      <c r="L231" s="313">
        <f t="shared" si="66"/>
        <v>100</v>
      </c>
      <c r="M231" s="350">
        <f>'TERMINAL TRACTORS'!N99</f>
        <v>0</v>
      </c>
      <c r="N231" s="309">
        <f t="shared" si="63"/>
        <v>0.99999999999999367</v>
      </c>
      <c r="O231" s="309" t="e">
        <f t="shared" si="64"/>
        <v>#DIV/0!</v>
      </c>
      <c r="P231" s="370"/>
      <c r="Q231" s="370"/>
      <c r="R231" s="370"/>
      <c r="S231" s="746" t="str">
        <f>CONCATENATE("TTT250: ",'TERMINAL TRACTORS'!B99,"_",'TERMINAL TRACTORS'!F99,"_",'TERMINAL TRACTORS'!J99)</f>
        <v>TTT250: NIL_NIL_NIL</v>
      </c>
      <c r="T231" s="746"/>
      <c r="U231" s="746"/>
      <c r="V231" s="746"/>
      <c r="W231" s="746"/>
      <c r="X231" s="746"/>
      <c r="Y231" s="746"/>
      <c r="Z231" s="746"/>
    </row>
    <row r="232" spans="1:26" s="226" customFormat="1" ht="63.75" customHeight="1">
      <c r="A232" s="484"/>
      <c r="B232" s="484"/>
      <c r="C232" s="485"/>
      <c r="D232" s="349"/>
      <c r="E232" s="231"/>
      <c r="F232" s="231"/>
      <c r="G232" s="309">
        <f t="shared" si="67"/>
        <v>60</v>
      </c>
      <c r="H232" s="309">
        <f>'TERMINAL TRACTORS'!M100</f>
        <v>1</v>
      </c>
      <c r="I232" s="310">
        <f t="shared" si="65"/>
        <v>1</v>
      </c>
      <c r="J232" s="311">
        <f t="shared" si="61"/>
        <v>1440.0000000000091</v>
      </c>
      <c r="K232" s="312">
        <f t="shared" si="62"/>
        <v>0</v>
      </c>
      <c r="L232" s="313">
        <f t="shared" si="66"/>
        <v>-6.3159354289786681E-13</v>
      </c>
      <c r="M232" s="350">
        <f>'TERMINAL TRACTORS'!N100</f>
        <v>0</v>
      </c>
      <c r="N232" s="309">
        <f t="shared" si="63"/>
        <v>-6.3159354289786285E-15</v>
      </c>
      <c r="O232" s="309" t="e">
        <f t="shared" si="64"/>
        <v>#DIV/0!</v>
      </c>
      <c r="P232" s="370"/>
      <c r="Q232" s="370"/>
      <c r="R232" s="370"/>
      <c r="S232" s="746" t="str">
        <f>CONCATENATE("TTT252: ",'TERMINAL TRACTORS'!B100,"_",'TERMINAL TRACTORS'!F100,"_",'TERMINAL TRACTORS'!J100)</f>
        <v>TTT252: ACCIDENT-OUT_OUT_OUT</v>
      </c>
      <c r="T232" s="746"/>
      <c r="U232" s="746"/>
      <c r="V232" s="746"/>
      <c r="W232" s="746"/>
      <c r="X232" s="746"/>
      <c r="Y232" s="746"/>
      <c r="Z232" s="746"/>
    </row>
    <row r="233" spans="1:26" s="226" customFormat="1" ht="63.75" customHeight="1">
      <c r="A233" s="484"/>
      <c r="B233" s="484"/>
      <c r="C233" s="485"/>
      <c r="D233" s="349"/>
      <c r="E233" s="231"/>
      <c r="F233" s="231"/>
      <c r="G233" s="309">
        <f t="shared" si="67"/>
        <v>0</v>
      </c>
      <c r="H233" s="309">
        <f>'TERMINAL TRACTORS'!M101</f>
        <v>0</v>
      </c>
      <c r="I233" s="310">
        <f t="shared" si="65"/>
        <v>0</v>
      </c>
      <c r="J233" s="311">
        <f t="shared" si="61"/>
        <v>0</v>
      </c>
      <c r="K233" s="312">
        <f t="shared" si="62"/>
        <v>1440.0000000000091</v>
      </c>
      <c r="L233" s="313">
        <f t="shared" si="66"/>
        <v>100</v>
      </c>
      <c r="M233" s="350">
        <f>'TERMINAL TRACTORS'!N101</f>
        <v>0</v>
      </c>
      <c r="N233" s="309">
        <f t="shared" si="63"/>
        <v>0.99999999999999367</v>
      </c>
      <c r="O233" s="309" t="e">
        <f t="shared" si="64"/>
        <v>#DIV/0!</v>
      </c>
      <c r="P233" s="370"/>
      <c r="Q233" s="370"/>
      <c r="R233" s="370"/>
      <c r="S233" s="746" t="str">
        <f>CONCATENATE("TTT253: ",'TERMINAL TRACTORS'!B101,"_",'TERMINAL TRACTORS'!F101,"_",'TERMINAL TRACTORS'!J101)</f>
        <v>TTT253: NIL_NIL_NIL</v>
      </c>
      <c r="T233" s="746"/>
      <c r="U233" s="746"/>
      <c r="V233" s="746"/>
      <c r="W233" s="746"/>
      <c r="X233" s="746"/>
      <c r="Y233" s="746"/>
      <c r="Z233" s="746"/>
    </row>
    <row r="234" spans="1:26" s="226" customFormat="1" ht="63.75" customHeight="1">
      <c r="A234" s="484"/>
      <c r="B234" s="484"/>
      <c r="C234" s="485"/>
      <c r="D234" s="349"/>
      <c r="E234" s="231"/>
      <c r="F234" s="231"/>
      <c r="G234" s="309">
        <f t="shared" si="67"/>
        <v>1.25</v>
      </c>
      <c r="H234" s="309">
        <f>'TERMINAL TRACTORS'!M102</f>
        <v>2.0833333333333332E-2</v>
      </c>
      <c r="I234" s="310">
        <f t="shared" si="65"/>
        <v>2.0833333333333332E-2</v>
      </c>
      <c r="J234" s="311">
        <f t="shared" si="61"/>
        <v>30.000000000000188</v>
      </c>
      <c r="K234" s="312">
        <f t="shared" si="62"/>
        <v>1410.0000000000089</v>
      </c>
      <c r="L234" s="313">
        <f t="shared" si="66"/>
        <v>97.916666666666657</v>
      </c>
      <c r="M234" s="350">
        <f>'TERMINAL TRACTORS'!N102</f>
        <v>1</v>
      </c>
      <c r="N234" s="309">
        <f t="shared" si="63"/>
        <v>0.48958333333333015</v>
      </c>
      <c r="O234" s="309">
        <f t="shared" si="64"/>
        <v>2.0833333333327042E-2</v>
      </c>
      <c r="P234" s="370"/>
      <c r="Q234" s="370"/>
      <c r="R234" s="370"/>
      <c r="S234" s="746" t="str">
        <f>CONCATENATE("TTT254: ",'TERMINAL TRACTORS'!B102,"_",'TERMINAL TRACTORS'!F102,"_",'TERMINAL TRACTORS'!J102)</f>
        <v>TTT254: NIL_NIL_LOW HYDRAULIC OIL</v>
      </c>
      <c r="T234" s="746"/>
      <c r="U234" s="746"/>
      <c r="V234" s="746"/>
      <c r="W234" s="746"/>
      <c r="X234" s="746"/>
      <c r="Y234" s="746"/>
      <c r="Z234" s="746"/>
    </row>
    <row r="235" spans="1:26" s="226" customFormat="1" ht="63.75" customHeight="1">
      <c r="A235" s="484"/>
      <c r="B235" s="484"/>
      <c r="C235" s="485"/>
      <c r="D235" s="349"/>
      <c r="E235" s="231"/>
      <c r="F235" s="231"/>
      <c r="G235" s="309">
        <f t="shared" si="67"/>
        <v>0</v>
      </c>
      <c r="H235" s="309">
        <f>'TERMINAL TRACTORS'!M103</f>
        <v>0</v>
      </c>
      <c r="I235" s="310">
        <f t="shared" si="65"/>
        <v>0</v>
      </c>
      <c r="J235" s="311">
        <f t="shared" si="61"/>
        <v>0</v>
      </c>
      <c r="K235" s="312">
        <f t="shared" si="62"/>
        <v>1440.0000000000091</v>
      </c>
      <c r="L235" s="313">
        <f t="shared" si="66"/>
        <v>100</v>
      </c>
      <c r="M235" s="350">
        <f>'TERMINAL TRACTORS'!N103</f>
        <v>0</v>
      </c>
      <c r="N235" s="309">
        <f t="shared" si="63"/>
        <v>0.99999999999999367</v>
      </c>
      <c r="O235" s="309" t="e">
        <f t="shared" si="64"/>
        <v>#DIV/0!</v>
      </c>
      <c r="P235" s="370"/>
      <c r="Q235" s="370"/>
      <c r="R235" s="370"/>
      <c r="S235" s="746" t="str">
        <f>CONCATENATE("TTT255: ",'TERMINAL TRACTORS'!B103,"_",'TERMINAL TRACTORS'!F103,"_",'TERMINAL TRACTORS'!J103)</f>
        <v>TTT255: NIL_NIL_NIL</v>
      </c>
      <c r="T235" s="746"/>
      <c r="U235" s="746"/>
      <c r="V235" s="746"/>
      <c r="W235" s="746"/>
      <c r="X235" s="746"/>
      <c r="Y235" s="746"/>
      <c r="Z235" s="746"/>
    </row>
    <row r="236" spans="1:26" s="226" customFormat="1" ht="63.75" customHeight="1">
      <c r="A236" s="484"/>
      <c r="B236" s="484"/>
      <c r="C236" s="485"/>
      <c r="D236" s="349"/>
      <c r="E236" s="231"/>
      <c r="F236" s="231"/>
      <c r="G236" s="309">
        <f t="shared" si="67"/>
        <v>0</v>
      </c>
      <c r="H236" s="309">
        <f>'TERMINAL TRACTORS'!M104</f>
        <v>0</v>
      </c>
      <c r="I236" s="310">
        <f t="shared" si="65"/>
        <v>0</v>
      </c>
      <c r="J236" s="311">
        <f t="shared" si="61"/>
        <v>0</v>
      </c>
      <c r="K236" s="312">
        <f t="shared" si="62"/>
        <v>1440.0000000000091</v>
      </c>
      <c r="L236" s="313">
        <f t="shared" si="66"/>
        <v>100</v>
      </c>
      <c r="M236" s="350">
        <f>'TERMINAL TRACTORS'!N104</f>
        <v>0</v>
      </c>
      <c r="N236" s="309">
        <f t="shared" si="63"/>
        <v>0.99999999999999367</v>
      </c>
      <c r="O236" s="309" t="e">
        <f t="shared" si="64"/>
        <v>#DIV/0!</v>
      </c>
      <c r="P236" s="370"/>
      <c r="Q236" s="370"/>
      <c r="R236" s="370"/>
      <c r="S236" s="746" t="str">
        <f>CONCATENATE("TTT256: ",'TERMINAL TRACTORS'!B104,"_",'TERMINAL TRACTORS'!F104,"_",'TERMINAL TRACTORS'!J104)</f>
        <v>TTT256: NIL_NIL_NIL</v>
      </c>
      <c r="T236" s="746"/>
      <c r="U236" s="746"/>
      <c r="V236" s="746"/>
      <c r="W236" s="746"/>
      <c r="X236" s="746"/>
      <c r="Y236" s="746"/>
      <c r="Z236" s="746"/>
    </row>
    <row r="237" spans="1:26" s="226" customFormat="1" ht="63.75" customHeight="1">
      <c r="A237" s="484"/>
      <c r="B237" s="484"/>
      <c r="C237" s="485"/>
      <c r="D237" s="349"/>
      <c r="E237" s="231"/>
      <c r="F237" s="231"/>
      <c r="G237" s="309">
        <f t="shared" si="67"/>
        <v>0</v>
      </c>
      <c r="H237" s="309">
        <f>'TERMINAL TRACTORS'!M105</f>
        <v>0</v>
      </c>
      <c r="I237" s="310">
        <f t="shared" ref="I237:I250" si="68">H237</f>
        <v>0</v>
      </c>
      <c r="J237" s="311">
        <f t="shared" ref="J237:J250" si="69">I237/0.00069444444444444</f>
        <v>0</v>
      </c>
      <c r="K237" s="312">
        <f t="shared" ref="K237:K250" si="70">(1-I237)/0.00069444444444444</f>
        <v>1440.0000000000091</v>
      </c>
      <c r="L237" s="313">
        <f t="shared" ref="L237:L250" si="71">((1440-(J237))/1440)*100</f>
        <v>100</v>
      </c>
      <c r="M237" s="350">
        <f>'TERMINAL TRACTORS'!N105</f>
        <v>0</v>
      </c>
      <c r="N237" s="309">
        <f t="shared" ref="N237:N250" si="72">((1440-J237)/(M237+1))*0.00069444444444444</f>
        <v>0.99999999999999367</v>
      </c>
      <c r="O237" s="309" t="e">
        <f t="shared" si="64"/>
        <v>#DIV/0!</v>
      </c>
      <c r="P237" s="370"/>
      <c r="Q237" s="370"/>
      <c r="R237" s="370"/>
      <c r="S237" s="746" t="str">
        <f>CONCATENATE("TTT01-25: ",'TERMINAL TRACTORS'!B105,"_",'TERMINAL TRACTORS'!F105,"_",'TERMINAL TRACTORS'!J105)</f>
        <v>TTT01-25: NIL_NIL_NIL</v>
      </c>
      <c r="T237" s="746"/>
      <c r="U237" s="746"/>
      <c r="V237" s="746"/>
      <c r="W237" s="746"/>
      <c r="X237" s="746"/>
      <c r="Y237" s="746"/>
      <c r="Z237" s="746"/>
    </row>
    <row r="238" spans="1:26" s="226" customFormat="1" ht="63.75" customHeight="1">
      <c r="A238" s="484"/>
      <c r="B238" s="484"/>
      <c r="C238" s="485"/>
      <c r="D238" s="349"/>
      <c r="E238" s="231"/>
      <c r="F238" s="231"/>
      <c r="G238" s="309">
        <f t="shared" si="67"/>
        <v>0</v>
      </c>
      <c r="H238" s="309">
        <f>'TERMINAL TRACTORS'!M106</f>
        <v>0</v>
      </c>
      <c r="I238" s="310">
        <f t="shared" si="68"/>
        <v>0</v>
      </c>
      <c r="J238" s="311">
        <f t="shared" si="69"/>
        <v>0</v>
      </c>
      <c r="K238" s="312">
        <f t="shared" si="70"/>
        <v>1440.0000000000091</v>
      </c>
      <c r="L238" s="313">
        <f t="shared" si="71"/>
        <v>100</v>
      </c>
      <c r="M238" s="350">
        <f>'TERMINAL TRACTORS'!N106</f>
        <v>0</v>
      </c>
      <c r="N238" s="309">
        <f t="shared" si="72"/>
        <v>0.99999999999999367</v>
      </c>
      <c r="O238" s="309" t="e">
        <f t="shared" si="64"/>
        <v>#DIV/0!</v>
      </c>
      <c r="P238" s="370"/>
      <c r="Q238" s="370"/>
      <c r="R238" s="370"/>
      <c r="S238" s="746" t="str">
        <f>CONCATENATE("TTT02-25: ",'TERMINAL TRACTORS'!B106,"_",'TERMINAL TRACTORS'!F106,"_",'TERMINAL TRACTORS'!J106)</f>
        <v>TTT02-25: NIL_NIL_NIL</v>
      </c>
      <c r="T238" s="746"/>
      <c r="U238" s="746"/>
      <c r="V238" s="746"/>
      <c r="W238" s="746"/>
      <c r="X238" s="746"/>
      <c r="Y238" s="746"/>
      <c r="Z238" s="746"/>
    </row>
    <row r="239" spans="1:26" s="226" customFormat="1" ht="63.75" customHeight="1">
      <c r="A239" s="484"/>
      <c r="B239" s="484"/>
      <c r="C239" s="485"/>
      <c r="D239" s="349"/>
      <c r="E239" s="231"/>
      <c r="F239" s="231"/>
      <c r="G239" s="309">
        <f t="shared" si="67"/>
        <v>0</v>
      </c>
      <c r="H239" s="309">
        <f>'TERMINAL TRACTORS'!M107</f>
        <v>0</v>
      </c>
      <c r="I239" s="310">
        <f t="shared" si="68"/>
        <v>0</v>
      </c>
      <c r="J239" s="311">
        <f t="shared" si="69"/>
        <v>0</v>
      </c>
      <c r="K239" s="312">
        <f t="shared" si="70"/>
        <v>1440.0000000000091</v>
      </c>
      <c r="L239" s="313">
        <f t="shared" si="71"/>
        <v>100</v>
      </c>
      <c r="M239" s="350">
        <f>'TERMINAL TRACTORS'!N107</f>
        <v>0</v>
      </c>
      <c r="N239" s="309">
        <f t="shared" si="72"/>
        <v>0.99999999999999367</v>
      </c>
      <c r="O239" s="309" t="e">
        <f t="shared" si="64"/>
        <v>#DIV/0!</v>
      </c>
      <c r="P239" s="370"/>
      <c r="Q239" s="370"/>
      <c r="R239" s="370"/>
      <c r="S239" s="746" t="str">
        <f>CONCATENATE("TTT03-25: ",'TERMINAL TRACTORS'!B107,"_",'TERMINAL TRACTORS'!F107,"_",'TERMINAL TRACTORS'!J107)</f>
        <v>TTT03-25: NIL_NIL_NIL</v>
      </c>
      <c r="T239" s="746"/>
      <c r="U239" s="746"/>
      <c r="V239" s="746"/>
      <c r="W239" s="746"/>
      <c r="X239" s="746"/>
      <c r="Y239" s="746"/>
      <c r="Z239" s="746"/>
    </row>
    <row r="240" spans="1:26" s="226" customFormat="1" ht="63.75" customHeight="1">
      <c r="A240" s="484"/>
      <c r="B240" s="484"/>
      <c r="C240" s="485"/>
      <c r="D240" s="349"/>
      <c r="E240" s="231"/>
      <c r="F240" s="231"/>
      <c r="G240" s="309">
        <f t="shared" si="67"/>
        <v>0</v>
      </c>
      <c r="H240" s="309">
        <f>'TERMINAL TRACTORS'!M108</f>
        <v>0</v>
      </c>
      <c r="I240" s="310">
        <f t="shared" si="68"/>
        <v>0</v>
      </c>
      <c r="J240" s="311">
        <f t="shared" si="69"/>
        <v>0</v>
      </c>
      <c r="K240" s="312">
        <f t="shared" si="70"/>
        <v>1440.0000000000091</v>
      </c>
      <c r="L240" s="313">
        <f t="shared" si="71"/>
        <v>100</v>
      </c>
      <c r="M240" s="350">
        <f>'TERMINAL TRACTORS'!N108</f>
        <v>0</v>
      </c>
      <c r="N240" s="309">
        <f t="shared" si="72"/>
        <v>0.99999999999999367</v>
      </c>
      <c r="O240" s="309" t="e">
        <f t="shared" si="64"/>
        <v>#DIV/0!</v>
      </c>
      <c r="P240" s="370"/>
      <c r="Q240" s="370"/>
      <c r="R240" s="370"/>
      <c r="S240" s="746" t="str">
        <f>CONCATENATE("TTT04-25: ",'TERMINAL TRACTORS'!B108,"_",'TERMINAL TRACTORS'!F108,"_",'TERMINAL TRACTORS'!J108)</f>
        <v>TTT04-25: NIL_NIL_NIL</v>
      </c>
      <c r="T240" s="746"/>
      <c r="U240" s="746"/>
      <c r="V240" s="746"/>
      <c r="W240" s="746"/>
      <c r="X240" s="746"/>
      <c r="Y240" s="746"/>
      <c r="Z240" s="746"/>
    </row>
    <row r="241" spans="1:26" s="226" customFormat="1" ht="63.75" customHeight="1">
      <c r="A241" s="484"/>
      <c r="B241" s="484"/>
      <c r="C241" s="485"/>
      <c r="D241" s="349"/>
      <c r="E241" s="231"/>
      <c r="F241" s="231"/>
      <c r="G241" s="309">
        <f t="shared" si="67"/>
        <v>0</v>
      </c>
      <c r="H241" s="309">
        <f>'TERMINAL TRACTORS'!M109</f>
        <v>0</v>
      </c>
      <c r="I241" s="310">
        <f t="shared" si="68"/>
        <v>0</v>
      </c>
      <c r="J241" s="311">
        <f t="shared" si="69"/>
        <v>0</v>
      </c>
      <c r="K241" s="312">
        <f t="shared" si="70"/>
        <v>1440.0000000000091</v>
      </c>
      <c r="L241" s="313">
        <f t="shared" si="71"/>
        <v>100</v>
      </c>
      <c r="M241" s="350">
        <f>'TERMINAL TRACTORS'!N109</f>
        <v>0</v>
      </c>
      <c r="N241" s="309">
        <f t="shared" si="72"/>
        <v>0.99999999999999367</v>
      </c>
      <c r="O241" s="309" t="e">
        <f t="shared" si="64"/>
        <v>#DIV/0!</v>
      </c>
      <c r="P241" s="370"/>
      <c r="Q241" s="370"/>
      <c r="R241" s="370"/>
      <c r="S241" s="746" t="str">
        <f>CONCATENATE("TTT05-25: ",'TERMINAL TRACTORS'!B109,"_",'TERMINAL TRACTORS'!F109,"_",'TERMINAL TRACTORS'!J109)</f>
        <v>TTT05-25: NIL_NIL_NIL</v>
      </c>
      <c r="T241" s="746"/>
      <c r="U241" s="746"/>
      <c r="V241" s="746"/>
      <c r="W241" s="746"/>
      <c r="X241" s="746"/>
      <c r="Y241" s="746"/>
      <c r="Z241" s="746"/>
    </row>
    <row r="242" spans="1:26" s="226" customFormat="1" ht="63.75" customHeight="1">
      <c r="A242" s="484"/>
      <c r="B242" s="484"/>
      <c r="C242" s="485"/>
      <c r="D242" s="349"/>
      <c r="E242" s="231"/>
      <c r="F242" s="231"/>
      <c r="G242" s="309">
        <f t="shared" si="67"/>
        <v>0</v>
      </c>
      <c r="H242" s="309">
        <f>'TERMINAL TRACTORS'!M110</f>
        <v>0</v>
      </c>
      <c r="I242" s="310">
        <f t="shared" si="68"/>
        <v>0</v>
      </c>
      <c r="J242" s="311">
        <f t="shared" si="69"/>
        <v>0</v>
      </c>
      <c r="K242" s="312">
        <f t="shared" si="70"/>
        <v>1440.0000000000091</v>
      </c>
      <c r="L242" s="313">
        <f t="shared" si="71"/>
        <v>100</v>
      </c>
      <c r="M242" s="350">
        <f>'TERMINAL TRACTORS'!N110</f>
        <v>0</v>
      </c>
      <c r="N242" s="309">
        <f t="shared" si="72"/>
        <v>0.99999999999999367</v>
      </c>
      <c r="O242" s="309" t="e">
        <f t="shared" si="64"/>
        <v>#DIV/0!</v>
      </c>
      <c r="P242" s="370"/>
      <c r="Q242" s="370"/>
      <c r="R242" s="370"/>
      <c r="S242" s="746" t="str">
        <f>CONCATENATE("TTT06-25: ",'TERMINAL TRACTORS'!B110,"_",'TERMINAL TRACTORS'!F110,"_",'TERMINAL TRACTORS'!J110)</f>
        <v>TTT06-25: NIL_NIL_NIL</v>
      </c>
      <c r="T242" s="746"/>
      <c r="U242" s="746"/>
      <c r="V242" s="746"/>
      <c r="W242" s="746"/>
      <c r="X242" s="746"/>
      <c r="Y242" s="746"/>
      <c r="Z242" s="746"/>
    </row>
    <row r="243" spans="1:26" s="226" customFormat="1" ht="63.75" customHeight="1">
      <c r="A243" s="484"/>
      <c r="B243" s="484"/>
      <c r="C243" s="485"/>
      <c r="D243" s="349"/>
      <c r="E243" s="231"/>
      <c r="F243" s="231"/>
      <c r="G243" s="309">
        <f t="shared" si="67"/>
        <v>0</v>
      </c>
      <c r="H243" s="309">
        <f>'TERMINAL TRACTORS'!M111</f>
        <v>0</v>
      </c>
      <c r="I243" s="310">
        <f t="shared" si="68"/>
        <v>0</v>
      </c>
      <c r="J243" s="311">
        <f t="shared" si="69"/>
        <v>0</v>
      </c>
      <c r="K243" s="312">
        <f t="shared" si="70"/>
        <v>1440.0000000000091</v>
      </c>
      <c r="L243" s="313">
        <f t="shared" si="71"/>
        <v>100</v>
      </c>
      <c r="M243" s="350">
        <f>'TERMINAL TRACTORS'!N111</f>
        <v>0</v>
      </c>
      <c r="N243" s="309">
        <f t="shared" si="72"/>
        <v>0.99999999999999367</v>
      </c>
      <c r="O243" s="309" t="e">
        <f t="shared" si="64"/>
        <v>#DIV/0!</v>
      </c>
      <c r="P243" s="370"/>
      <c r="Q243" s="370"/>
      <c r="R243" s="370"/>
      <c r="S243" s="746" t="str">
        <f>CONCATENATE("TTT07-25: ",'TERMINAL TRACTORS'!B111,"_",'TERMINAL TRACTORS'!F111,"_",'TERMINAL TRACTORS'!J111)</f>
        <v>TTT07-25: NIL_NIL_NIL</v>
      </c>
      <c r="T243" s="746"/>
      <c r="U243" s="746"/>
      <c r="V243" s="746"/>
      <c r="W243" s="746"/>
      <c r="X243" s="746"/>
      <c r="Y243" s="746"/>
      <c r="Z243" s="746"/>
    </row>
    <row r="244" spans="1:26" s="226" customFormat="1" ht="63.75" customHeight="1">
      <c r="A244" s="484"/>
      <c r="B244" s="484"/>
      <c r="C244" s="485"/>
      <c r="D244" s="349"/>
      <c r="E244" s="231"/>
      <c r="F244" s="231"/>
      <c r="G244" s="309">
        <f t="shared" si="67"/>
        <v>0</v>
      </c>
      <c r="H244" s="309">
        <f>'TERMINAL TRACTORS'!M112</f>
        <v>0</v>
      </c>
      <c r="I244" s="310">
        <f t="shared" si="68"/>
        <v>0</v>
      </c>
      <c r="J244" s="311">
        <f t="shared" si="69"/>
        <v>0</v>
      </c>
      <c r="K244" s="312">
        <f t="shared" si="70"/>
        <v>1440.0000000000091</v>
      </c>
      <c r="L244" s="313">
        <f t="shared" si="71"/>
        <v>100</v>
      </c>
      <c r="M244" s="350">
        <f>'TERMINAL TRACTORS'!N112</f>
        <v>0</v>
      </c>
      <c r="N244" s="309">
        <f t="shared" si="72"/>
        <v>0.99999999999999367</v>
      </c>
      <c r="O244" s="309" t="e">
        <f t="shared" si="64"/>
        <v>#DIV/0!</v>
      </c>
      <c r="P244" s="370"/>
      <c r="Q244" s="370"/>
      <c r="R244" s="370"/>
      <c r="S244" s="746" t="str">
        <f>CONCATENATE("TTT08-25: ",'TERMINAL TRACTORS'!B112,"_",'TERMINAL TRACTORS'!F112,"_",'TERMINAL TRACTORS'!J112)</f>
        <v>TTT08-25: NIL_NIL_NIL</v>
      </c>
      <c r="T244" s="746"/>
      <c r="U244" s="746"/>
      <c r="V244" s="746"/>
      <c r="W244" s="746"/>
      <c r="X244" s="746"/>
      <c r="Y244" s="746"/>
      <c r="Z244" s="746"/>
    </row>
    <row r="245" spans="1:26" s="226" customFormat="1" ht="63.75" customHeight="1">
      <c r="A245" s="484"/>
      <c r="B245" s="484"/>
      <c r="C245" s="485"/>
      <c r="D245" s="349"/>
      <c r="E245" s="231"/>
      <c r="F245" s="231"/>
      <c r="G245" s="309">
        <f t="shared" si="67"/>
        <v>0</v>
      </c>
      <c r="H245" s="309">
        <f>'TERMINAL TRACTORS'!M113</f>
        <v>0</v>
      </c>
      <c r="I245" s="310">
        <f t="shared" si="68"/>
        <v>0</v>
      </c>
      <c r="J245" s="311">
        <f t="shared" si="69"/>
        <v>0</v>
      </c>
      <c r="K245" s="312">
        <f t="shared" si="70"/>
        <v>1440.0000000000091</v>
      </c>
      <c r="L245" s="313">
        <f t="shared" si="71"/>
        <v>100</v>
      </c>
      <c r="M245" s="350">
        <f>'TERMINAL TRACTORS'!N113</f>
        <v>0</v>
      </c>
      <c r="N245" s="309">
        <f t="shared" si="72"/>
        <v>0.99999999999999367</v>
      </c>
      <c r="O245" s="309" t="e">
        <f t="shared" si="64"/>
        <v>#DIV/0!</v>
      </c>
      <c r="P245" s="370"/>
      <c r="Q245" s="370"/>
      <c r="R245" s="370"/>
      <c r="S245" s="746" t="str">
        <f>CONCATENATE("TTT09-25: ",'TERMINAL TRACTORS'!B113,"_",'TERMINAL TRACTORS'!F113,"_",'TERMINAL TRACTORS'!J113)</f>
        <v>TTT09-25: NIL_NIL_NIL</v>
      </c>
      <c r="T245" s="746"/>
      <c r="U245" s="746"/>
      <c r="V245" s="746"/>
      <c r="W245" s="746"/>
      <c r="X245" s="746"/>
      <c r="Y245" s="746"/>
      <c r="Z245" s="746"/>
    </row>
    <row r="246" spans="1:26" s="226" customFormat="1" ht="63.75" customHeight="1">
      <c r="A246" s="484"/>
      <c r="B246" s="484"/>
      <c r="C246" s="485"/>
      <c r="D246" s="349"/>
      <c r="E246" s="231"/>
      <c r="F246" s="231"/>
      <c r="G246" s="309">
        <f t="shared" si="67"/>
        <v>0</v>
      </c>
      <c r="H246" s="309">
        <f>'TERMINAL TRACTORS'!M114</f>
        <v>0</v>
      </c>
      <c r="I246" s="310">
        <f t="shared" si="68"/>
        <v>0</v>
      </c>
      <c r="J246" s="311">
        <f t="shared" si="69"/>
        <v>0</v>
      </c>
      <c r="K246" s="312">
        <f t="shared" si="70"/>
        <v>1440.0000000000091</v>
      </c>
      <c r="L246" s="313">
        <f t="shared" si="71"/>
        <v>100</v>
      </c>
      <c r="M246" s="350">
        <f>'TERMINAL TRACTORS'!N114</f>
        <v>0</v>
      </c>
      <c r="N246" s="309">
        <f t="shared" si="72"/>
        <v>0.99999999999999367</v>
      </c>
      <c r="O246" s="309" t="e">
        <f t="shared" si="64"/>
        <v>#DIV/0!</v>
      </c>
      <c r="P246" s="370"/>
      <c r="Q246" s="370"/>
      <c r="R246" s="370"/>
      <c r="S246" s="746" t="str">
        <f>CONCATENATE("TTT10-25: ",'TERMINAL TRACTORS'!B114,"_",'TERMINAL TRACTORS'!F114,"_",'TERMINAL TRACTORS'!J114)</f>
        <v>TTT10-25: NIL_NIL_NIL</v>
      </c>
      <c r="T246" s="746"/>
      <c r="U246" s="746"/>
      <c r="V246" s="746"/>
      <c r="W246" s="746"/>
      <c r="X246" s="746"/>
      <c r="Y246" s="746"/>
      <c r="Z246" s="746"/>
    </row>
    <row r="247" spans="1:26" s="226" customFormat="1" ht="63.75" customHeight="1">
      <c r="A247" s="484"/>
      <c r="B247" s="484"/>
      <c r="C247" s="485"/>
      <c r="D247" s="349"/>
      <c r="E247" s="231"/>
      <c r="F247" s="231"/>
      <c r="G247" s="309">
        <f t="shared" si="67"/>
        <v>0</v>
      </c>
      <c r="H247" s="309">
        <f>'TERMINAL TRACTORS'!M115</f>
        <v>0</v>
      </c>
      <c r="I247" s="310">
        <f t="shared" si="68"/>
        <v>0</v>
      </c>
      <c r="J247" s="311">
        <f t="shared" si="69"/>
        <v>0</v>
      </c>
      <c r="K247" s="312">
        <f t="shared" si="70"/>
        <v>1440.0000000000091</v>
      </c>
      <c r="L247" s="313">
        <f t="shared" si="71"/>
        <v>100</v>
      </c>
      <c r="M247" s="350">
        <f>'TERMINAL TRACTORS'!N115</f>
        <v>0</v>
      </c>
      <c r="N247" s="309">
        <f t="shared" si="72"/>
        <v>0.99999999999999367</v>
      </c>
      <c r="O247" s="309" t="e">
        <f t="shared" si="64"/>
        <v>#DIV/0!</v>
      </c>
      <c r="P247" s="370"/>
      <c r="Q247" s="370"/>
      <c r="R247" s="370"/>
      <c r="S247" s="746" t="str">
        <f>CONCATENATE("TTT11-25: ",'TERMINAL TRACTORS'!B115,"_",'TERMINAL TRACTORS'!F115,"_",'TERMINAL TRACTORS'!J115)</f>
        <v>TTT11-25: NIL_NIL_NIL</v>
      </c>
      <c r="T247" s="746"/>
      <c r="U247" s="746"/>
      <c r="V247" s="746"/>
      <c r="W247" s="746"/>
      <c r="X247" s="746"/>
      <c r="Y247" s="746"/>
      <c r="Z247" s="746"/>
    </row>
    <row r="248" spans="1:26" s="226" customFormat="1" ht="63.75" customHeight="1">
      <c r="A248" s="484"/>
      <c r="B248" s="484"/>
      <c r="C248" s="485"/>
      <c r="D248" s="349"/>
      <c r="E248" s="231"/>
      <c r="F248" s="231"/>
      <c r="G248" s="309">
        <f t="shared" si="67"/>
        <v>0</v>
      </c>
      <c r="H248" s="309">
        <f>'TERMINAL TRACTORS'!M116</f>
        <v>0</v>
      </c>
      <c r="I248" s="310">
        <f t="shared" si="68"/>
        <v>0</v>
      </c>
      <c r="J248" s="311">
        <f t="shared" si="69"/>
        <v>0</v>
      </c>
      <c r="K248" s="312">
        <f t="shared" si="70"/>
        <v>1440.0000000000091</v>
      </c>
      <c r="L248" s="313">
        <f t="shared" si="71"/>
        <v>100</v>
      </c>
      <c r="M248" s="350">
        <f>'TERMINAL TRACTORS'!N116</f>
        <v>0</v>
      </c>
      <c r="N248" s="309">
        <f t="shared" si="72"/>
        <v>0.99999999999999367</v>
      </c>
      <c r="O248" s="309" t="e">
        <f t="shared" si="64"/>
        <v>#DIV/0!</v>
      </c>
      <c r="P248" s="370"/>
      <c r="Q248" s="370"/>
      <c r="R248" s="370"/>
      <c r="S248" s="746" t="str">
        <f>CONCATENATE("TTT12-25: ",'TERMINAL TRACTORS'!B116,"_",'TERMINAL TRACTORS'!F116,"_",'TERMINAL TRACTORS'!J116)</f>
        <v>TTT12-25: NIL_NIL_NIL</v>
      </c>
      <c r="T248" s="746"/>
      <c r="U248" s="746"/>
      <c r="V248" s="746"/>
      <c r="W248" s="746"/>
      <c r="X248" s="746"/>
      <c r="Y248" s="746"/>
      <c r="Z248" s="746"/>
    </row>
    <row r="249" spans="1:26" s="226" customFormat="1" ht="63.75" customHeight="1">
      <c r="A249" s="484"/>
      <c r="B249" s="484"/>
      <c r="C249" s="485"/>
      <c r="D249" s="349"/>
      <c r="E249" s="231"/>
      <c r="F249" s="231"/>
      <c r="G249" s="309">
        <f t="shared" si="67"/>
        <v>0</v>
      </c>
      <c r="H249" s="309">
        <f>'TERMINAL TRACTORS'!M117</f>
        <v>0</v>
      </c>
      <c r="I249" s="310">
        <f t="shared" si="68"/>
        <v>0</v>
      </c>
      <c r="J249" s="311">
        <f t="shared" si="69"/>
        <v>0</v>
      </c>
      <c r="K249" s="312">
        <f t="shared" si="70"/>
        <v>1440.0000000000091</v>
      </c>
      <c r="L249" s="313">
        <f t="shared" si="71"/>
        <v>100</v>
      </c>
      <c r="M249" s="350">
        <f>'TERMINAL TRACTORS'!N117</f>
        <v>0</v>
      </c>
      <c r="N249" s="309">
        <f t="shared" si="72"/>
        <v>0.99999999999999367</v>
      </c>
      <c r="O249" s="309" t="e">
        <f t="shared" si="64"/>
        <v>#DIV/0!</v>
      </c>
      <c r="P249" s="370"/>
      <c r="Q249" s="370"/>
      <c r="R249" s="370"/>
      <c r="S249" s="746" t="str">
        <f>CONCATENATE("TTT13-25: ",'TERMINAL TRACTORS'!B117,"_",'TERMINAL TRACTORS'!F117,"_",'TERMINAL TRACTORS'!J117)</f>
        <v>TTT13-25: NIL_NIL_NIL</v>
      </c>
      <c r="T249" s="746"/>
      <c r="U249" s="746"/>
      <c r="V249" s="746"/>
      <c r="W249" s="746"/>
      <c r="X249" s="746"/>
      <c r="Y249" s="746"/>
      <c r="Z249" s="746"/>
    </row>
    <row r="250" spans="1:26" s="226" customFormat="1" ht="63.75" customHeight="1">
      <c r="A250" s="484"/>
      <c r="B250" s="484"/>
      <c r="C250" s="485"/>
      <c r="D250" s="349"/>
      <c r="E250" s="231"/>
      <c r="F250" s="231"/>
      <c r="G250" s="309">
        <f t="shared" si="67"/>
        <v>0</v>
      </c>
      <c r="H250" s="309">
        <f>'TERMINAL TRACTORS'!M118</f>
        <v>0</v>
      </c>
      <c r="I250" s="310">
        <f t="shared" si="68"/>
        <v>0</v>
      </c>
      <c r="J250" s="311">
        <f t="shared" si="69"/>
        <v>0</v>
      </c>
      <c r="K250" s="312">
        <f t="shared" si="70"/>
        <v>1440.0000000000091</v>
      </c>
      <c r="L250" s="313">
        <f t="shared" si="71"/>
        <v>100</v>
      </c>
      <c r="M250" s="350">
        <f>'TERMINAL TRACTORS'!N118</f>
        <v>0</v>
      </c>
      <c r="N250" s="309">
        <f t="shared" si="72"/>
        <v>0.99999999999999367</v>
      </c>
      <c r="O250" s="309" t="e">
        <f t="shared" si="64"/>
        <v>#DIV/0!</v>
      </c>
      <c r="P250" s="370"/>
      <c r="Q250" s="370"/>
      <c r="R250" s="370"/>
      <c r="S250" s="746" t="str">
        <f>CONCATENATE("TTT14-25: ",'TERMINAL TRACTORS'!B118,"_",'TERMINAL TRACTORS'!F118,"_",'TERMINAL TRACTORS'!J118)</f>
        <v>TTT14-25: NIL_NIL_NIL</v>
      </c>
      <c r="T250" s="746"/>
      <c r="U250" s="746"/>
      <c r="V250" s="746"/>
      <c r="W250" s="746"/>
      <c r="X250" s="746"/>
      <c r="Y250" s="746"/>
      <c r="Z250" s="746"/>
    </row>
    <row r="251" spans="1:26" s="226" customFormat="1" ht="63.75" customHeight="1">
      <c r="A251" s="484"/>
      <c r="B251" s="484"/>
      <c r="C251" s="485"/>
      <c r="D251" s="349"/>
      <c r="E251" s="231"/>
      <c r="F251" s="231"/>
      <c r="G251" s="309">
        <f t="shared" si="67"/>
        <v>0</v>
      </c>
      <c r="H251" s="309">
        <f>'TERMINAL TRACTORS'!M119</f>
        <v>0</v>
      </c>
      <c r="I251" s="310">
        <f t="shared" ref="I251:I256" si="73">H251</f>
        <v>0</v>
      </c>
      <c r="J251" s="311">
        <f t="shared" ref="J251:J256" si="74">I251/0.00069444444444444</f>
        <v>0</v>
      </c>
      <c r="K251" s="312">
        <f t="shared" ref="K251:K256" si="75">(1-I251)/0.00069444444444444</f>
        <v>1440.0000000000091</v>
      </c>
      <c r="L251" s="313">
        <f t="shared" ref="L251:L256" si="76">((1440-(J251))/1440)*100</f>
        <v>100</v>
      </c>
      <c r="M251" s="350">
        <f>'TERMINAL TRACTORS'!N119</f>
        <v>0</v>
      </c>
      <c r="N251" s="309">
        <f t="shared" ref="N251:N256" si="77">((1440-J251)/(M251+1))*0.00069444444444444</f>
        <v>0.99999999999999367</v>
      </c>
      <c r="O251" s="309" t="e">
        <f t="shared" si="64"/>
        <v>#DIV/0!</v>
      </c>
      <c r="P251" s="370"/>
      <c r="Q251" s="370"/>
      <c r="R251" s="370"/>
      <c r="S251" s="746" t="str">
        <f>CONCATENATE("TTT15-25: ",'TERMINAL TRACTORS'!B119,"_",'TERMINAL TRACTORS'!F119,"_",'TERMINAL TRACTORS'!J119)</f>
        <v>TTT15-25: NIL_NIL_NIL</v>
      </c>
      <c r="T251" s="746"/>
      <c r="U251" s="746"/>
      <c r="V251" s="746"/>
      <c r="W251" s="746"/>
      <c r="X251" s="746"/>
      <c r="Y251" s="746"/>
      <c r="Z251" s="746"/>
    </row>
    <row r="252" spans="1:26" s="226" customFormat="1" ht="63.75" customHeight="1">
      <c r="A252" s="484"/>
      <c r="B252" s="484"/>
      <c r="C252" s="485"/>
      <c r="D252" s="349"/>
      <c r="E252" s="231"/>
      <c r="F252" s="231"/>
      <c r="G252" s="309">
        <f t="shared" si="67"/>
        <v>0</v>
      </c>
      <c r="H252" s="309">
        <f>'TERMINAL TRACTORS'!M120</f>
        <v>0</v>
      </c>
      <c r="I252" s="310">
        <f t="shared" si="73"/>
        <v>0</v>
      </c>
      <c r="J252" s="311">
        <f t="shared" si="74"/>
        <v>0</v>
      </c>
      <c r="K252" s="312">
        <f t="shared" si="75"/>
        <v>1440.0000000000091</v>
      </c>
      <c r="L252" s="313">
        <f t="shared" si="76"/>
        <v>100</v>
      </c>
      <c r="M252" s="350">
        <f>'TERMINAL TRACTORS'!N120</f>
        <v>0</v>
      </c>
      <c r="N252" s="309">
        <f t="shared" si="77"/>
        <v>0.99999999999999367</v>
      </c>
      <c r="O252" s="309" t="e">
        <f t="shared" si="64"/>
        <v>#DIV/0!</v>
      </c>
      <c r="P252" s="370"/>
      <c r="Q252" s="370"/>
      <c r="R252" s="370"/>
      <c r="S252" s="746" t="str">
        <f>CONCATENATE("TTT16-25: ",'TERMINAL TRACTORS'!B120,"_",'TERMINAL TRACTORS'!F120,"_",'TERMINAL TRACTORS'!J120)</f>
        <v>TTT16-25: NIL_NIL_NIL</v>
      </c>
      <c r="T252" s="746"/>
      <c r="U252" s="746"/>
      <c r="V252" s="746"/>
      <c r="W252" s="746"/>
      <c r="X252" s="746"/>
      <c r="Y252" s="746"/>
      <c r="Z252" s="746"/>
    </row>
    <row r="253" spans="1:26" s="226" customFormat="1" ht="63.75" customHeight="1">
      <c r="A253" s="484"/>
      <c r="B253" s="484"/>
      <c r="C253" s="485"/>
      <c r="D253" s="349"/>
      <c r="E253" s="231"/>
      <c r="F253" s="231"/>
      <c r="G253" s="309">
        <f t="shared" si="67"/>
        <v>0</v>
      </c>
      <c r="H253" s="309">
        <f>'TERMINAL TRACTORS'!M121</f>
        <v>0</v>
      </c>
      <c r="I253" s="310">
        <f t="shared" si="73"/>
        <v>0</v>
      </c>
      <c r="J253" s="311">
        <f t="shared" si="74"/>
        <v>0</v>
      </c>
      <c r="K253" s="312">
        <f t="shared" si="75"/>
        <v>1440.0000000000091</v>
      </c>
      <c r="L253" s="313">
        <f t="shared" si="76"/>
        <v>100</v>
      </c>
      <c r="M253" s="350">
        <f>'TERMINAL TRACTORS'!N121</f>
        <v>0</v>
      </c>
      <c r="N253" s="309">
        <f t="shared" si="77"/>
        <v>0.99999999999999367</v>
      </c>
      <c r="O253" s="309" t="e">
        <f t="shared" si="64"/>
        <v>#DIV/0!</v>
      </c>
      <c r="P253" s="370"/>
      <c r="Q253" s="370"/>
      <c r="R253" s="370"/>
      <c r="S253" s="746" t="str">
        <f>CONCATENATE("TTT17-25: ",'TERMINAL TRACTORS'!B121,"_",'TERMINAL TRACTORS'!F121,"_",'TERMINAL TRACTORS'!J121)</f>
        <v>TTT17-25: NIL_NIL_NIL</v>
      </c>
      <c r="T253" s="746"/>
      <c r="U253" s="746"/>
      <c r="V253" s="746"/>
      <c r="W253" s="746"/>
      <c r="X253" s="746"/>
      <c r="Y253" s="746"/>
      <c r="Z253" s="746"/>
    </row>
    <row r="254" spans="1:26" s="226" customFormat="1" ht="63.75" customHeight="1">
      <c r="A254" s="484"/>
      <c r="B254" s="484"/>
      <c r="C254" s="485"/>
      <c r="D254" s="349"/>
      <c r="E254" s="231"/>
      <c r="F254" s="231"/>
      <c r="G254" s="309">
        <f t="shared" si="67"/>
        <v>0</v>
      </c>
      <c r="H254" s="309">
        <f>'TERMINAL TRACTORS'!M122</f>
        <v>0</v>
      </c>
      <c r="I254" s="310">
        <f t="shared" si="73"/>
        <v>0</v>
      </c>
      <c r="J254" s="311">
        <f t="shared" si="74"/>
        <v>0</v>
      </c>
      <c r="K254" s="312">
        <f t="shared" si="75"/>
        <v>1440.0000000000091</v>
      </c>
      <c r="L254" s="313">
        <f t="shared" si="76"/>
        <v>100</v>
      </c>
      <c r="M254" s="350">
        <f>'TERMINAL TRACTORS'!N122</f>
        <v>0</v>
      </c>
      <c r="N254" s="309">
        <f t="shared" si="77"/>
        <v>0.99999999999999367</v>
      </c>
      <c r="O254" s="309" t="e">
        <f t="shared" si="64"/>
        <v>#DIV/0!</v>
      </c>
      <c r="P254" s="370"/>
      <c r="Q254" s="370"/>
      <c r="R254" s="370"/>
      <c r="S254" s="746" t="str">
        <f>CONCATENATE("TTT18-25: ",'TERMINAL TRACTORS'!B122,"_",'TERMINAL TRACTORS'!F122,"_",'TERMINAL TRACTORS'!J122)</f>
        <v>TTT18-25: NIL_NIL_NIL</v>
      </c>
      <c r="T254" s="746"/>
      <c r="U254" s="746"/>
      <c r="V254" s="746"/>
      <c r="W254" s="746"/>
      <c r="X254" s="746"/>
      <c r="Y254" s="746"/>
      <c r="Z254" s="746"/>
    </row>
    <row r="255" spans="1:26" s="226" customFormat="1" ht="63.75" customHeight="1">
      <c r="A255" s="484"/>
      <c r="B255" s="484"/>
      <c r="C255" s="485"/>
      <c r="D255" s="349"/>
      <c r="E255" s="231"/>
      <c r="F255" s="231"/>
      <c r="G255" s="309">
        <f t="shared" si="67"/>
        <v>0</v>
      </c>
      <c r="H255" s="309">
        <f>'TERMINAL TRACTORS'!M123</f>
        <v>0</v>
      </c>
      <c r="I255" s="310">
        <f t="shared" si="73"/>
        <v>0</v>
      </c>
      <c r="J255" s="311">
        <f t="shared" si="74"/>
        <v>0</v>
      </c>
      <c r="K255" s="312">
        <f t="shared" si="75"/>
        <v>1440.0000000000091</v>
      </c>
      <c r="L255" s="313">
        <f t="shared" si="76"/>
        <v>100</v>
      </c>
      <c r="M255" s="350">
        <f>'TERMINAL TRACTORS'!N123</f>
        <v>0</v>
      </c>
      <c r="N255" s="309">
        <f t="shared" si="77"/>
        <v>0.99999999999999367</v>
      </c>
      <c r="O255" s="309" t="e">
        <f t="shared" ref="O255:O256" si="78">((1440-K255)/(M255))*0.00069444444444444</f>
        <v>#DIV/0!</v>
      </c>
      <c r="P255" s="370"/>
      <c r="Q255" s="370"/>
      <c r="R255" s="370"/>
      <c r="S255" s="746" t="str">
        <f>CONCATENATE("TTT19-25: ",'TERMINAL TRACTORS'!B123,"_",'TERMINAL TRACTORS'!F123,"_",'TERMINAL TRACTORS'!J123)</f>
        <v>TTT19-25: NIL_NIL_NIL</v>
      </c>
      <c r="T255" s="746"/>
      <c r="U255" s="746"/>
      <c r="V255" s="746"/>
      <c r="W255" s="746"/>
      <c r="X255" s="746"/>
      <c r="Y255" s="746"/>
      <c r="Z255" s="746"/>
    </row>
    <row r="256" spans="1:26" s="226" customFormat="1" ht="63.75" customHeight="1">
      <c r="A256" s="484"/>
      <c r="B256" s="484"/>
      <c r="C256" s="485"/>
      <c r="D256" s="349"/>
      <c r="E256" s="231"/>
      <c r="F256" s="231"/>
      <c r="G256" s="309">
        <f t="shared" si="67"/>
        <v>0</v>
      </c>
      <c r="H256" s="309">
        <f>'TERMINAL TRACTORS'!M124</f>
        <v>0</v>
      </c>
      <c r="I256" s="310">
        <f t="shared" si="73"/>
        <v>0</v>
      </c>
      <c r="J256" s="311">
        <f t="shared" si="74"/>
        <v>0</v>
      </c>
      <c r="K256" s="312">
        <f t="shared" si="75"/>
        <v>1440.0000000000091</v>
      </c>
      <c r="L256" s="313">
        <f t="shared" si="76"/>
        <v>100</v>
      </c>
      <c r="M256" s="350">
        <f>'TERMINAL TRACTORS'!N124</f>
        <v>0</v>
      </c>
      <c r="N256" s="309">
        <f t="shared" si="77"/>
        <v>0.99999999999999367</v>
      </c>
      <c r="O256" s="309" t="e">
        <f t="shared" si="78"/>
        <v>#DIV/0!</v>
      </c>
      <c r="P256" s="370"/>
      <c r="Q256" s="370"/>
      <c r="R256" s="370"/>
      <c r="S256" s="746" t="str">
        <f>CONCATENATE("TTT20-25: ",'TERMINAL TRACTORS'!B124,"_",'TERMINAL TRACTORS'!F124,"_",'TERMINAL TRACTORS'!J124)</f>
        <v>TTT20-25: NIL_NIL_NIL</v>
      </c>
      <c r="T256" s="746"/>
      <c r="U256" s="746"/>
      <c r="V256" s="746"/>
      <c r="W256" s="746"/>
      <c r="X256" s="746"/>
      <c r="Y256" s="746"/>
      <c r="Z256" s="746"/>
    </row>
    <row r="257" spans="1:28" s="226" customFormat="1" ht="63.75" customHeight="1">
      <c r="A257" s="747" t="s">
        <v>645</v>
      </c>
      <c r="B257" s="748"/>
      <c r="C257" s="749"/>
      <c r="D257" s="747" t="s">
        <v>645</v>
      </c>
      <c r="E257" s="748"/>
      <c r="F257" s="749"/>
      <c r="G257" s="614">
        <f>SUM(G141:G256)</f>
        <v>1843.3333333333333</v>
      </c>
      <c r="H257" s="360" t="s">
        <v>136</v>
      </c>
      <c r="I257" s="361"/>
      <c r="J257" s="298"/>
      <c r="K257" s="361"/>
      <c r="L257" s="361"/>
      <c r="M257" s="361"/>
      <c r="N257" s="361"/>
      <c r="O257" s="361"/>
      <c r="P257" s="335"/>
      <c r="Q257" s="335"/>
      <c r="R257" s="335"/>
      <c r="S257" s="335"/>
      <c r="T257" s="335"/>
      <c r="U257" s="335"/>
      <c r="V257" s="335"/>
      <c r="W257" s="335"/>
      <c r="X257" s="335"/>
      <c r="Y257" s="335"/>
      <c r="Z257" s="336"/>
    </row>
    <row r="258" spans="1:28" s="226" customFormat="1" ht="63.75" customHeight="1">
      <c r="A258" s="752"/>
      <c r="B258" s="753"/>
      <c r="C258" s="754"/>
      <c r="D258" s="290">
        <v>4</v>
      </c>
      <c r="E258" s="288">
        <f>'OTHER REPORTS'!B16</f>
        <v>2</v>
      </c>
      <c r="F258" s="290">
        <v>4</v>
      </c>
      <c r="G258" s="290"/>
      <c r="H258" s="309">
        <f>'TERMINAL TRACTORS'!M126</f>
        <v>1</v>
      </c>
      <c r="I258" s="657">
        <f>H258</f>
        <v>1</v>
      </c>
      <c r="J258" s="333">
        <f>I258/0.00069444444444444</f>
        <v>1440.0000000000091</v>
      </c>
      <c r="K258" s="319">
        <f>(1-I258)/0.00069444444444444</f>
        <v>0</v>
      </c>
      <c r="L258" s="313">
        <f t="shared" ref="L258:L261" si="79">((1440-(J258))/1440)*100</f>
        <v>-6.3159354289786681E-13</v>
      </c>
      <c r="M258" s="350">
        <f>'TERMINAL TRACTORS'!N126</f>
        <v>0</v>
      </c>
      <c r="N258" s="309">
        <f t="shared" ref="N258:N261" si="80">((1440-J258)/(M258+1))*0.00069444444444444</f>
        <v>-6.3159354289786285E-15</v>
      </c>
      <c r="O258" s="309" t="e">
        <f t="shared" ref="O258:O261" si="81">((1440-K258)/(M258))*0.00069444444444444</f>
        <v>#DIV/0!</v>
      </c>
      <c r="P258" s="227">
        <f>AVERAGE(L258:L261)</f>
        <v>49.999999999999687</v>
      </c>
      <c r="Q258" s="315">
        <f>AVERAGEIF(N258:N353,"&gt;0",N258:N353)</f>
        <v>0.99999999999999367</v>
      </c>
      <c r="R258" s="316" t="e">
        <f>AVERAGEIF(O258:O353,"&gt;0",O258:O353)</f>
        <v>#DIV/0!</v>
      </c>
      <c r="S258" s="746" t="str">
        <f>CONCATENATE("HPS10: ",'TERMINAL TRACTORS'!B126,"_",'TERMINAL TRACTORS'!F126,"_",'TERMINAL TRACTORS'!J126)</f>
        <v>HPS10: BATTERY FAULT- OUT_BATTERY FAULT- OUT_BATTERY FAULT- OUT</v>
      </c>
      <c r="T258" s="746"/>
      <c r="U258" s="746"/>
      <c r="V258" s="746"/>
      <c r="W258" s="746"/>
      <c r="X258" s="746"/>
      <c r="Y258" s="746"/>
      <c r="Z258" s="746"/>
    </row>
    <row r="259" spans="1:28" s="226" customFormat="1" ht="63.75" customHeight="1">
      <c r="A259" s="755"/>
      <c r="B259" s="756"/>
      <c r="C259" s="757"/>
      <c r="D259" s="761"/>
      <c r="E259" s="762"/>
      <c r="F259" s="763"/>
      <c r="G259" s="357"/>
      <c r="H259" s="309">
        <f>'TERMINAL TRACTORS'!M127</f>
        <v>1</v>
      </c>
      <c r="I259" s="657">
        <f>H259</f>
        <v>1</v>
      </c>
      <c r="J259" s="333">
        <f>I259/0.00069444444444444</f>
        <v>1440.0000000000091</v>
      </c>
      <c r="K259" s="319">
        <f>(1-I259)/0.00069444444444444</f>
        <v>0</v>
      </c>
      <c r="L259" s="313">
        <f t="shared" si="79"/>
        <v>-6.3159354289786681E-13</v>
      </c>
      <c r="M259" s="350">
        <f>'TERMINAL TRACTORS'!N127</f>
        <v>0</v>
      </c>
      <c r="N259" s="309">
        <f t="shared" si="80"/>
        <v>-6.3159354289786285E-15</v>
      </c>
      <c r="O259" s="309" t="e">
        <f t="shared" si="81"/>
        <v>#DIV/0!</v>
      </c>
      <c r="P259" s="228">
        <v>90</v>
      </c>
      <c r="Q259" s="229">
        <v>0.85</v>
      </c>
      <c r="R259" s="230">
        <v>3.125E-2</v>
      </c>
      <c r="S259" s="746" t="str">
        <f>CONCATENATE("HPS11: ",'TERMINAL TRACTORS'!B127,"_",'TERMINAL TRACTORS'!F127,"_",'TERMINAL TRACTORS'!J127)</f>
        <v>HPS11: BATTERY FAULT- OUT_BATTERY FAULT- OUT_BATTERY FAULT- OUT</v>
      </c>
      <c r="T259" s="746"/>
      <c r="U259" s="746"/>
      <c r="V259" s="746"/>
      <c r="W259" s="746"/>
      <c r="X259" s="746"/>
      <c r="Y259" s="746"/>
      <c r="Z259" s="746"/>
    </row>
    <row r="260" spans="1:28" s="226" customFormat="1" ht="63.75" customHeight="1">
      <c r="A260" s="755"/>
      <c r="B260" s="756"/>
      <c r="C260" s="757"/>
      <c r="D260" s="764"/>
      <c r="E260" s="765"/>
      <c r="F260" s="766"/>
      <c r="G260" s="357"/>
      <c r="H260" s="309">
        <f>'TERMINAL TRACTORS'!M128</f>
        <v>0</v>
      </c>
      <c r="I260" s="658"/>
      <c r="J260" s="659"/>
      <c r="K260" s="660"/>
      <c r="L260" s="313">
        <f t="shared" si="79"/>
        <v>100</v>
      </c>
      <c r="M260" s="350">
        <f>'TERMINAL TRACTORS'!N128</f>
        <v>0</v>
      </c>
      <c r="N260" s="309">
        <f t="shared" si="80"/>
        <v>0.99999999999999367</v>
      </c>
      <c r="O260" s="309" t="e">
        <f t="shared" si="81"/>
        <v>#DIV/0!</v>
      </c>
      <c r="P260" s="661"/>
      <c r="Q260" s="662"/>
      <c r="R260" s="662"/>
      <c r="S260" s="746" t="str">
        <f>CONCATENATE("HPS12: ",'TERMINAL TRACTORS'!B128,"_",'TERMINAL TRACTORS'!F128,"_",'TERMINAL TRACTORS'!J128)</f>
        <v>HPS12: NIL_NIL_NIL</v>
      </c>
      <c r="T260" s="746"/>
      <c r="U260" s="746"/>
      <c r="V260" s="746"/>
      <c r="W260" s="746"/>
      <c r="X260" s="746"/>
      <c r="Y260" s="746"/>
      <c r="Z260" s="746"/>
    </row>
    <row r="261" spans="1:28" s="226" customFormat="1" ht="63.75" customHeight="1">
      <c r="A261" s="758"/>
      <c r="B261" s="759"/>
      <c r="C261" s="760"/>
      <c r="D261" s="767"/>
      <c r="E261" s="768"/>
      <c r="F261" s="769"/>
      <c r="G261" s="357"/>
      <c r="H261" s="309">
        <f>'TERMINAL TRACTORS'!M129</f>
        <v>0</v>
      </c>
      <c r="I261" s="658"/>
      <c r="J261" s="659"/>
      <c r="K261" s="660"/>
      <c r="L261" s="313">
        <f t="shared" si="79"/>
        <v>100</v>
      </c>
      <c r="M261" s="350">
        <f>'TERMINAL TRACTORS'!N129</f>
        <v>0</v>
      </c>
      <c r="N261" s="309">
        <f t="shared" si="80"/>
        <v>0.99999999999999367</v>
      </c>
      <c r="O261" s="309" t="e">
        <f t="shared" si="81"/>
        <v>#DIV/0!</v>
      </c>
      <c r="P261" s="663"/>
      <c r="Q261" s="664"/>
      <c r="R261" s="664"/>
      <c r="S261" s="746" t="str">
        <f>CONCATENATE("HPS13: ",'TERMINAL TRACTORS'!B129,"_",'TERMINAL TRACTORS'!F129,"_",'TERMINAL TRACTORS'!J129)</f>
        <v>HPS13: NIL_NIL_NIL</v>
      </c>
      <c r="T261" s="746"/>
      <c r="U261" s="746"/>
      <c r="V261" s="746"/>
      <c r="W261" s="746"/>
      <c r="X261" s="746"/>
      <c r="Y261" s="746"/>
      <c r="Z261" s="746"/>
    </row>
    <row r="262" spans="1:28" s="226" customFormat="1" ht="63.75" customHeight="1">
      <c r="A262" s="747" t="s">
        <v>125</v>
      </c>
      <c r="B262" s="748"/>
      <c r="C262" s="749"/>
      <c r="D262" s="334"/>
      <c r="E262" s="335"/>
      <c r="F262" s="335"/>
      <c r="G262" s="614">
        <f>SUM(G141:G256)</f>
        <v>1843.3333333333333</v>
      </c>
      <c r="H262" s="360" t="s">
        <v>77</v>
      </c>
      <c r="I262" s="361"/>
      <c r="J262" s="298"/>
      <c r="K262" s="361"/>
      <c r="L262" s="361"/>
      <c r="M262" s="361"/>
      <c r="N262" s="361"/>
      <c r="O262" s="361"/>
      <c r="P262" s="335"/>
      <c r="Q262" s="335"/>
      <c r="R262" s="335"/>
      <c r="S262" s="335"/>
      <c r="T262" s="335"/>
      <c r="U262" s="335"/>
      <c r="V262" s="335"/>
      <c r="W262" s="335"/>
      <c r="X262" s="335"/>
      <c r="Y262" s="335"/>
      <c r="Z262" s="336"/>
    </row>
    <row r="263" spans="1:28" s="226" customFormat="1" ht="63.75" customHeight="1" thickBot="1">
      <c r="A263" s="751" t="s">
        <v>30</v>
      </c>
      <c r="B263" s="751"/>
      <c r="C263" s="751"/>
      <c r="D263" s="290">
        <v>158</v>
      </c>
      <c r="E263" s="288">
        <f>'OTHER REPORTS'!B13</f>
        <v>131</v>
      </c>
      <c r="F263" s="290">
        <v>90</v>
      </c>
      <c r="G263" s="290"/>
      <c r="H263" s="337"/>
      <c r="I263" s="318">
        <f>H263</f>
        <v>0</v>
      </c>
      <c r="J263" s="333">
        <f>I263/0.00069444444444444</f>
        <v>0</v>
      </c>
      <c r="K263" s="319">
        <f>(1-I263)/0.00069444444444444</f>
        <v>1440.0000000000091</v>
      </c>
      <c r="L263" s="289">
        <f>(E263/D263)*100</f>
        <v>82.911392405063282</v>
      </c>
      <c r="M263" s="750" t="str">
        <f>'OTHER REPORTS'!D13</f>
        <v>27-OUT: BREAKDOWN     HTR:169,173,187,195,246,248, 250,277,282, 284, 285, 288,290, 291,292,294,310,330 334,337,369,370,371,372,380,394,397,</v>
      </c>
      <c r="N263" s="750"/>
      <c r="O263" s="750"/>
      <c r="P263" s="750"/>
      <c r="Q263" s="750"/>
      <c r="R263" s="750"/>
      <c r="S263" s="750"/>
      <c r="T263" s="750"/>
      <c r="U263" s="750"/>
      <c r="V263" s="750"/>
      <c r="W263" s="750"/>
      <c r="X263" s="750"/>
      <c r="Y263" s="750"/>
      <c r="Z263" s="750"/>
    </row>
    <row r="264" spans="1:28" s="226" customFormat="1" ht="63.75" customHeight="1" thickBot="1">
      <c r="A264" s="779" t="s">
        <v>32</v>
      </c>
      <c r="B264" s="780"/>
      <c r="C264" s="781"/>
      <c r="D264" s="357">
        <v>10</v>
      </c>
      <c r="E264" s="144">
        <f>'OTHER REPORTS'!B14</f>
        <v>10</v>
      </c>
      <c r="F264" s="357">
        <v>20</v>
      </c>
      <c r="G264" s="357"/>
      <c r="H264" s="309"/>
      <c r="I264" s="318">
        <f>H264</f>
        <v>0</v>
      </c>
      <c r="J264" s="333">
        <f>I264/0.00069444444444444</f>
        <v>0</v>
      </c>
      <c r="K264" s="319">
        <f>(1-I264)/0.00069444444444444</f>
        <v>1440.0000000000091</v>
      </c>
      <c r="L264" s="240">
        <f>(E264/D264)*100</f>
        <v>100</v>
      </c>
      <c r="M264" s="809"/>
      <c r="N264" s="809"/>
      <c r="O264" s="809"/>
      <c r="P264" s="809"/>
      <c r="Q264" s="809"/>
      <c r="R264" s="809"/>
      <c r="S264" s="809"/>
      <c r="T264" s="809"/>
      <c r="U264" s="809"/>
      <c r="V264" s="809"/>
      <c r="W264" s="809"/>
      <c r="X264" s="809"/>
      <c r="Y264" s="809"/>
      <c r="Z264" s="809"/>
    </row>
    <row r="265" spans="1:28" s="226" customFormat="1" ht="68.25" customHeight="1">
      <c r="A265" s="334"/>
      <c r="B265" s="335" t="s">
        <v>126</v>
      </c>
      <c r="C265" s="336"/>
      <c r="D265" s="334"/>
      <c r="E265" s="335"/>
      <c r="F265" s="335"/>
      <c r="G265" s="335"/>
      <c r="H265" s="822" t="s">
        <v>127</v>
      </c>
      <c r="I265" s="822"/>
      <c r="J265" s="822"/>
      <c r="K265" s="822"/>
      <c r="L265" s="822"/>
      <c r="M265" s="822"/>
      <c r="N265" s="822"/>
      <c r="O265" s="822"/>
      <c r="P265" s="335"/>
      <c r="Q265" s="335"/>
      <c r="R265" s="335"/>
      <c r="S265" s="335"/>
      <c r="T265" s="335"/>
      <c r="U265" s="335"/>
      <c r="V265" s="335"/>
      <c r="W265" s="335"/>
      <c r="X265" s="335"/>
      <c r="Y265" s="335"/>
      <c r="Z265" s="336"/>
    </row>
    <row r="266" spans="1:28" s="226" customFormat="1" ht="68.25" customHeight="1" thickBot="1">
      <c r="A266" s="779" t="s">
        <v>128</v>
      </c>
      <c r="B266" s="780"/>
      <c r="C266" s="781"/>
      <c r="D266" s="338">
        <v>31</v>
      </c>
      <c r="E266" s="587">
        <f>'OTHER REPORTS'!B5</f>
        <v>29</v>
      </c>
      <c r="F266" s="338">
        <v>11</v>
      </c>
      <c r="G266" s="338"/>
      <c r="H266" s="239">
        <f t="shared" ref="H266:H278" si="82">(E266/D266)*100</f>
        <v>93.548387096774192</v>
      </c>
      <c r="I266" s="372"/>
      <c r="J266" s="372"/>
      <c r="K266" s="372"/>
      <c r="L266" s="339">
        <v>90</v>
      </c>
      <c r="M266" s="805" t="str">
        <f>'OTHER REPORTS'!D5</f>
        <v>SPD190 &amp; SPD188</v>
      </c>
      <c r="N266" s="805"/>
      <c r="O266" s="805"/>
      <c r="P266" s="805"/>
      <c r="Q266" s="805"/>
      <c r="R266" s="805"/>
      <c r="S266" s="805"/>
      <c r="T266" s="805"/>
      <c r="U266" s="805"/>
      <c r="V266" s="805"/>
      <c r="W266" s="805"/>
      <c r="X266" s="805"/>
      <c r="Y266" s="805"/>
      <c r="Z266" s="805"/>
    </row>
    <row r="267" spans="1:28" s="226" customFormat="1" ht="68.25" customHeight="1" thickBot="1">
      <c r="A267" s="343" t="s">
        <v>129</v>
      </c>
      <c r="B267" s="344"/>
      <c r="C267" s="345"/>
      <c r="D267" s="338">
        <v>9</v>
      </c>
      <c r="E267" s="587">
        <f>'OTHER REPORTS'!B6</f>
        <v>7</v>
      </c>
      <c r="F267" s="351">
        <v>2</v>
      </c>
      <c r="G267" s="351"/>
      <c r="H267" s="239">
        <f t="shared" si="82"/>
        <v>77.777777777777786</v>
      </c>
      <c r="I267" s="372"/>
      <c r="J267" s="372"/>
      <c r="K267" s="372"/>
      <c r="L267" s="339">
        <v>90</v>
      </c>
      <c r="M267" s="805" t="str">
        <f>'OTHER REPORTS'!D6</f>
        <v>SPD219;SPD 249</v>
      </c>
      <c r="N267" s="805"/>
      <c r="O267" s="805"/>
      <c r="P267" s="805"/>
      <c r="Q267" s="805"/>
      <c r="R267" s="805"/>
      <c r="S267" s="805"/>
      <c r="T267" s="805"/>
      <c r="U267" s="805"/>
      <c r="V267" s="805"/>
      <c r="W267" s="805"/>
      <c r="X267" s="805"/>
      <c r="Y267" s="805"/>
      <c r="Z267" s="805"/>
    </row>
    <row r="268" spans="1:28" s="226" customFormat="1" ht="68.25" customHeight="1" thickBot="1">
      <c r="A268" s="779" t="s">
        <v>130</v>
      </c>
      <c r="B268" s="780"/>
      <c r="C268" s="781"/>
      <c r="D268" s="357">
        <v>53</v>
      </c>
      <c r="E268" s="233">
        <v>50</v>
      </c>
      <c r="F268" s="330">
        <v>46</v>
      </c>
      <c r="G268" s="330"/>
      <c r="H268" s="227">
        <f t="shared" si="82"/>
        <v>94.339622641509436</v>
      </c>
      <c r="I268" s="372"/>
      <c r="J268" s="372"/>
      <c r="K268" s="372"/>
      <c r="L268" s="340">
        <v>90</v>
      </c>
      <c r="M268" s="802" t="str">
        <f>'OTHER REPORTS'!D7</f>
        <v>SPD101, SPD16 &amp; SPD205</v>
      </c>
      <c r="N268" s="803"/>
      <c r="O268" s="803"/>
      <c r="P268" s="803"/>
      <c r="Q268" s="803"/>
      <c r="R268" s="803"/>
      <c r="S268" s="803"/>
      <c r="T268" s="803"/>
      <c r="U268" s="803"/>
      <c r="V268" s="803"/>
      <c r="W268" s="803"/>
      <c r="X268" s="803"/>
      <c r="Y268" s="803"/>
      <c r="Z268" s="804"/>
    </row>
    <row r="269" spans="1:28" s="226" customFormat="1" ht="68.25" customHeight="1" thickBot="1">
      <c r="A269" s="343" t="s">
        <v>131</v>
      </c>
      <c r="B269" s="344"/>
      <c r="C269" s="345"/>
      <c r="D269" s="357">
        <v>5</v>
      </c>
      <c r="E269" s="233">
        <f>'OTHER REPORTS'!B8</f>
        <v>5</v>
      </c>
      <c r="F269" s="330">
        <v>2</v>
      </c>
      <c r="G269" s="330"/>
      <c r="H269" s="227">
        <f t="shared" si="82"/>
        <v>100</v>
      </c>
      <c r="I269" s="372"/>
      <c r="J269" s="372"/>
      <c r="K269" s="372"/>
      <c r="L269" s="340">
        <v>90</v>
      </c>
      <c r="M269" s="805" t="str">
        <f>'OTHER REPORTS'!D8</f>
        <v>NIL</v>
      </c>
      <c r="N269" s="805"/>
      <c r="O269" s="805"/>
      <c r="P269" s="805"/>
      <c r="Q269" s="805"/>
      <c r="R269" s="805"/>
      <c r="S269" s="805"/>
      <c r="T269" s="805"/>
      <c r="U269" s="805"/>
      <c r="V269" s="805"/>
      <c r="W269" s="805"/>
      <c r="X269" s="805"/>
      <c r="Y269" s="805"/>
      <c r="Z269" s="805"/>
    </row>
    <row r="270" spans="1:28" s="226" customFormat="1" ht="73.5" thickBot="1">
      <c r="A270" s="779" t="s">
        <v>17</v>
      </c>
      <c r="B270" s="780"/>
      <c r="C270" s="781"/>
      <c r="D270" s="357">
        <v>22</v>
      </c>
      <c r="E270" s="233">
        <f>'OTHER REPORTS'!B9</f>
        <v>22</v>
      </c>
      <c r="F270" s="330">
        <v>43</v>
      </c>
      <c r="G270" s="330"/>
      <c r="H270" s="227">
        <f t="shared" si="82"/>
        <v>100</v>
      </c>
      <c r="I270" s="372"/>
      <c r="J270" s="372"/>
      <c r="K270" s="372"/>
      <c r="L270" s="340">
        <v>90</v>
      </c>
      <c r="M270" s="805" t="str">
        <f>'OTHER REPORTS'!D9</f>
        <v>NIL</v>
      </c>
      <c r="N270" s="805"/>
      <c r="O270" s="805"/>
      <c r="P270" s="805"/>
      <c r="Q270" s="805"/>
      <c r="R270" s="805"/>
      <c r="S270" s="805"/>
      <c r="T270" s="805"/>
      <c r="U270" s="805"/>
      <c r="V270" s="805"/>
      <c r="W270" s="805"/>
      <c r="X270" s="805"/>
      <c r="Y270" s="805"/>
      <c r="Z270" s="805"/>
    </row>
    <row r="271" spans="1:28" s="226" customFormat="1" ht="73.5" thickBot="1">
      <c r="A271" s="779" t="s">
        <v>19</v>
      </c>
      <c r="B271" s="780"/>
      <c r="C271" s="781"/>
      <c r="D271" s="357">
        <v>14</v>
      </c>
      <c r="E271" s="235">
        <f>'OTHER REPORTS'!B10</f>
        <v>13</v>
      </c>
      <c r="F271" s="330">
        <v>8</v>
      </c>
      <c r="G271" s="604"/>
      <c r="H271" s="240">
        <f t="shared" si="82"/>
        <v>92.857142857142861</v>
      </c>
      <c r="I271" s="372"/>
      <c r="J271" s="372"/>
      <c r="K271" s="372"/>
      <c r="L271" s="341">
        <v>90</v>
      </c>
      <c r="M271" s="785" t="str">
        <f>'OTHER REPORTS'!D10</f>
        <v>OHS180</v>
      </c>
      <c r="N271" s="786"/>
      <c r="O271" s="786"/>
      <c r="P271" s="786"/>
      <c r="Q271" s="786"/>
      <c r="R271" s="786"/>
      <c r="S271" s="786"/>
      <c r="T271" s="786"/>
      <c r="U271" s="786"/>
      <c r="V271" s="786"/>
      <c r="W271" s="786"/>
      <c r="X271" s="786"/>
      <c r="Y271" s="786"/>
      <c r="Z271" s="787"/>
      <c r="AA271" s="300"/>
      <c r="AB271" s="301"/>
    </row>
    <row r="272" spans="1:28" s="226" customFormat="1" ht="73.5" thickBot="1">
      <c r="A272" s="779" t="s">
        <v>132</v>
      </c>
      <c r="B272" s="780"/>
      <c r="C272" s="781"/>
      <c r="D272" s="357">
        <v>288</v>
      </c>
      <c r="E272" s="235">
        <f>'OTHER REPORTS'!B11</f>
        <v>119</v>
      </c>
      <c r="F272" s="330">
        <v>288</v>
      </c>
      <c r="G272" s="604"/>
      <c r="H272" s="240">
        <f t="shared" si="82"/>
        <v>41.319444444444443</v>
      </c>
      <c r="I272" s="372"/>
      <c r="J272" s="372"/>
      <c r="K272" s="372"/>
      <c r="L272" s="341">
        <v>90</v>
      </c>
      <c r="M272" s="785" t="str">
        <f>'OTHER REPORTS'!D11</f>
        <v xml:space="preserve">CT1:[48 POINTS FAULTY AWAITING PO, 120 POINTS BARRICADED AWAITING BACK-UP GENSET] CT2: [24 POINTS FAULTY AWAITING PO] </v>
      </c>
      <c r="N272" s="786"/>
      <c r="O272" s="786"/>
      <c r="P272" s="786"/>
      <c r="Q272" s="786"/>
      <c r="R272" s="786"/>
      <c r="S272" s="786"/>
      <c r="T272" s="786"/>
      <c r="U272" s="786"/>
      <c r="V272" s="786"/>
      <c r="W272" s="786"/>
      <c r="X272" s="786"/>
      <c r="Y272" s="786"/>
      <c r="Z272" s="787"/>
      <c r="AA272" s="300"/>
      <c r="AB272" s="301"/>
    </row>
    <row r="273" spans="1:28" s="226" customFormat="1" ht="73.5" thickBot="1">
      <c r="A273" s="779" t="s">
        <v>133</v>
      </c>
      <c r="B273" s="780"/>
      <c r="C273" s="781"/>
      <c r="D273" s="357">
        <v>459</v>
      </c>
      <c r="E273" s="235">
        <f>'OTHER REPORTS'!B12</f>
        <v>435</v>
      </c>
      <c r="F273" s="330">
        <v>459</v>
      </c>
      <c r="G273" s="604"/>
      <c r="H273" s="240">
        <f t="shared" si="82"/>
        <v>94.77124183006535</v>
      </c>
      <c r="I273" s="372"/>
      <c r="J273" s="372"/>
      <c r="K273" s="372"/>
      <c r="L273" s="341">
        <v>90</v>
      </c>
      <c r="M273" s="461" t="s">
        <v>134</v>
      </c>
      <c r="N273" s="462"/>
      <c r="O273" s="462"/>
      <c r="P273" s="462"/>
      <c r="Q273" s="462"/>
      <c r="R273" s="462"/>
      <c r="S273" s="462"/>
      <c r="T273" s="462"/>
      <c r="U273" s="462"/>
      <c r="V273" s="462"/>
      <c r="W273" s="462"/>
      <c r="X273" s="462"/>
      <c r="Y273" s="462"/>
      <c r="Z273" s="463"/>
      <c r="AA273" s="300"/>
      <c r="AB273" s="301"/>
    </row>
    <row r="274" spans="1:28" s="226" customFormat="1" ht="73.5" thickBot="1">
      <c r="A274" s="779" t="s">
        <v>135</v>
      </c>
      <c r="B274" s="780"/>
      <c r="C274" s="781"/>
      <c r="D274" s="357">
        <v>3</v>
      </c>
      <c r="E274" s="235">
        <f>'OTHER REPORTS'!B15</f>
        <v>1</v>
      </c>
      <c r="F274" s="357">
        <v>1</v>
      </c>
      <c r="G274" s="342"/>
      <c r="H274" s="240">
        <f t="shared" si="82"/>
        <v>33.333333333333329</v>
      </c>
      <c r="I274" s="254"/>
      <c r="J274" s="254"/>
      <c r="K274" s="254"/>
      <c r="L274" s="254"/>
      <c r="M274" s="779" t="str">
        <f>'OTHER REPORTS'!D15</f>
        <v>ML-01-OUT ML-02-OUT</v>
      </c>
      <c r="N274" s="780"/>
      <c r="O274" s="780"/>
      <c r="P274" s="780"/>
      <c r="Q274" s="780"/>
      <c r="R274" s="780"/>
      <c r="S274" s="780"/>
      <c r="T274" s="780"/>
      <c r="U274" s="780"/>
      <c r="V274" s="780"/>
      <c r="W274" s="780"/>
      <c r="X274" s="780"/>
      <c r="Y274" s="780"/>
      <c r="Z274" s="781"/>
    </row>
    <row r="275" spans="1:28" s="226" customFormat="1" ht="69.75" customHeight="1" thickBot="1">
      <c r="A275" s="779" t="s">
        <v>136</v>
      </c>
      <c r="B275" s="780"/>
      <c r="C275" s="781"/>
      <c r="D275" s="357">
        <v>4</v>
      </c>
      <c r="E275" s="144">
        <f>'OTHER REPORTS'!B16</f>
        <v>2</v>
      </c>
      <c r="F275" s="357">
        <v>2</v>
      </c>
      <c r="G275" s="342"/>
      <c r="H275" s="240">
        <f t="shared" si="82"/>
        <v>50</v>
      </c>
      <c r="I275" s="431"/>
      <c r="J275" s="431"/>
      <c r="K275" s="431"/>
      <c r="L275" s="430"/>
      <c r="M275" s="743" t="s">
        <v>134</v>
      </c>
      <c r="N275" s="744"/>
      <c r="O275" s="744"/>
      <c r="P275" s="744"/>
      <c r="Q275" s="744"/>
      <c r="R275" s="744"/>
      <c r="S275" s="744"/>
      <c r="T275" s="744"/>
      <c r="U275" s="744"/>
      <c r="V275" s="744"/>
      <c r="W275" s="744"/>
      <c r="X275" s="744"/>
      <c r="Y275" s="744"/>
      <c r="Z275" s="745"/>
    </row>
    <row r="276" spans="1:28" s="226" customFormat="1" ht="73.5" thickBot="1">
      <c r="A276" s="779" t="s">
        <v>137</v>
      </c>
      <c r="B276" s="780"/>
      <c r="C276" s="781"/>
      <c r="D276" s="357">
        <v>5</v>
      </c>
      <c r="E276" s="144">
        <f>'OTHER REPORTS'!B17</f>
        <v>3</v>
      </c>
      <c r="F276" s="357">
        <v>2</v>
      </c>
      <c r="G276" s="342"/>
      <c r="H276" s="240">
        <f t="shared" si="82"/>
        <v>60</v>
      </c>
      <c r="I276" s="254"/>
      <c r="J276" s="254"/>
      <c r="K276" s="254"/>
      <c r="L276" s="430"/>
      <c r="M276" s="779" t="str">
        <f>'OTHER REPORTS'!D17</f>
        <v>FAULTY:HH123-FAULTY CHARGING SYSTEM</v>
      </c>
      <c r="N276" s="780"/>
      <c r="O276" s="780"/>
      <c r="P276" s="780"/>
      <c r="Q276" s="780"/>
      <c r="R276" s="780"/>
      <c r="S276" s="780"/>
      <c r="T276" s="780"/>
      <c r="U276" s="780"/>
      <c r="V276" s="780"/>
      <c r="W276" s="780"/>
      <c r="X276" s="780"/>
      <c r="Y276" s="780"/>
      <c r="Z276" s="781"/>
    </row>
    <row r="277" spans="1:28" s="226" customFormat="1" ht="73.5" thickBot="1">
      <c r="A277" s="779" t="s">
        <v>138</v>
      </c>
      <c r="B277" s="780"/>
      <c r="C277" s="781"/>
      <c r="D277" s="357">
        <v>5</v>
      </c>
      <c r="E277" s="235">
        <f>'OTHER REPORTS'!B19</f>
        <v>4</v>
      </c>
      <c r="F277" s="357">
        <v>0</v>
      </c>
      <c r="G277" s="342"/>
      <c r="H277" s="240">
        <f t="shared" si="82"/>
        <v>80</v>
      </c>
      <c r="I277" s="254"/>
      <c r="J277" s="254"/>
      <c r="K277" s="254"/>
      <c r="L277" s="430"/>
      <c r="M277" s="779" t="s">
        <v>134</v>
      </c>
      <c r="N277" s="780"/>
      <c r="O277" s="780"/>
      <c r="P277" s="780"/>
      <c r="Q277" s="780"/>
      <c r="R277" s="780"/>
      <c r="S277" s="780"/>
      <c r="T277" s="780"/>
      <c r="U277" s="780"/>
      <c r="V277" s="780"/>
      <c r="W277" s="780"/>
      <c r="X277" s="780"/>
      <c r="Y277" s="780"/>
      <c r="Z277" s="781"/>
    </row>
    <row r="278" spans="1:28" s="226" customFormat="1" ht="73.5" thickBot="1">
      <c r="A278" s="816" t="s">
        <v>139</v>
      </c>
      <c r="B278" s="817"/>
      <c r="C278" s="818"/>
      <c r="D278" s="342">
        <v>15</v>
      </c>
      <c r="E278" s="223">
        <f>'OTHER REPORTS'!B21</f>
        <v>7</v>
      </c>
      <c r="F278" s="342">
        <v>15</v>
      </c>
      <c r="G278" s="342"/>
      <c r="H278" s="240">
        <f t="shared" si="82"/>
        <v>46.666666666666664</v>
      </c>
      <c r="I278" s="366"/>
      <c r="J278" s="366"/>
      <c r="K278" s="366"/>
      <c r="M278" s="251" t="str">
        <f>'OTHER REPORTS'!D21</f>
        <v>UNDER SERVICE-5, KCD 836G-ACCIDENT. KCD 834G-WRITE-OFF , KCD 839G-GASKET CYLINDER, KCD837G-SUSPENSION;KCA105F-STEERING FAULT;</v>
      </c>
      <c r="N278" s="366"/>
      <c r="O278" s="366"/>
    </row>
    <row r="279" spans="1:28" s="226" customFormat="1" ht="60" customHeight="1">
      <c r="A279" s="812" t="s">
        <v>140</v>
      </c>
      <c r="B279" s="813"/>
      <c r="C279" s="813"/>
      <c r="D279" s="813"/>
      <c r="E279" s="813"/>
      <c r="F279" s="813"/>
      <c r="G279" s="813"/>
      <c r="H279" s="813"/>
      <c r="I279" s="813"/>
      <c r="J279" s="813"/>
      <c r="K279" s="813"/>
      <c r="L279" s="813"/>
      <c r="M279" s="813"/>
      <c r="N279" s="813"/>
      <c r="O279" s="813"/>
      <c r="P279" s="813"/>
      <c r="Q279" s="813"/>
      <c r="R279" s="814"/>
      <c r="S279" s="815" t="s">
        <v>141</v>
      </c>
      <c r="T279" s="815"/>
      <c r="U279" s="815"/>
      <c r="V279" s="815"/>
      <c r="W279" s="815"/>
      <c r="X279" s="815"/>
      <c r="Y279" s="815"/>
      <c r="Z279" s="815"/>
    </row>
    <row r="280" spans="1:28" s="226" customFormat="1" ht="60" customHeight="1">
      <c r="A280" s="806" t="s">
        <v>9</v>
      </c>
      <c r="B280" s="807"/>
      <c r="C280" s="808"/>
      <c r="D280" s="785" t="str">
        <f>CONCATENATE('OTHER REPORTS'!C32)</f>
        <v>STS1804</v>
      </c>
      <c r="E280" s="787"/>
      <c r="F280" s="782" t="str">
        <f>CONCATENATE('OTHER REPORTS'!D32)</f>
        <v>NIL</v>
      </c>
      <c r="G280" s="783"/>
      <c r="H280" s="784"/>
      <c r="I280" s="373"/>
      <c r="J280" s="788" t="s">
        <v>142</v>
      </c>
      <c r="K280" s="789"/>
      <c r="L280" s="789"/>
      <c r="M280" s="789"/>
      <c r="N280" s="790"/>
      <c r="O280" s="785" t="str">
        <f>'OTHER REPORTS'!C36</f>
        <v>HK39</v>
      </c>
      <c r="P280" s="787"/>
      <c r="Q280" s="782" t="str">
        <f>'OTHER REPORTS'!D36</f>
        <v>NIL</v>
      </c>
      <c r="R280" s="784"/>
      <c r="S280" s="806" t="s">
        <v>143</v>
      </c>
      <c r="T280" s="807"/>
      <c r="U280" s="808"/>
      <c r="V280" s="819" t="s">
        <v>144</v>
      </c>
      <c r="W280" s="820"/>
      <c r="X280" s="821"/>
      <c r="Y280" s="810" t="s">
        <v>145</v>
      </c>
      <c r="Z280" s="811"/>
    </row>
    <row r="281" spans="1:28" s="226" customFormat="1" ht="60" customHeight="1">
      <c r="A281" s="806" t="s">
        <v>11</v>
      </c>
      <c r="B281" s="807"/>
      <c r="C281" s="808"/>
      <c r="D281" s="785" t="str">
        <f>'OTHER REPORTS'!C33</f>
        <v>NIL</v>
      </c>
      <c r="E281" s="787"/>
      <c r="F281" s="782" t="str">
        <f>'OTHER REPORTS'!D33</f>
        <v>NIL</v>
      </c>
      <c r="G281" s="783"/>
      <c r="H281" s="784"/>
      <c r="I281" s="373"/>
      <c r="J281" s="788" t="s">
        <v>49</v>
      </c>
      <c r="K281" s="789"/>
      <c r="L281" s="789"/>
      <c r="M281" s="789"/>
      <c r="N281" s="790"/>
      <c r="O281" s="785" t="str">
        <f>CONCATENATE('OTHER REPORTS'!C37)</f>
        <v>KTT221</v>
      </c>
      <c r="P281" s="787"/>
      <c r="Q281" s="782" t="str">
        <f>CONCATENATE('OTHER REPORTS'!D37)</f>
        <v>KTT193, TTT167</v>
      </c>
      <c r="R281" s="784"/>
      <c r="S281" s="785">
        <f>'OTHER REPORTS'!E32</f>
        <v>0</v>
      </c>
      <c r="T281" s="786"/>
      <c r="U281" s="787"/>
      <c r="V281" s="776">
        <f>'OTHER REPORTS'!F32</f>
        <v>0</v>
      </c>
      <c r="W281" s="777"/>
      <c r="X281" s="778"/>
      <c r="Y281" s="779">
        <f>'OTHER REPORTS'!M32</f>
        <v>0</v>
      </c>
      <c r="Z281" s="781"/>
    </row>
    <row r="282" spans="1:28" s="226" customFormat="1" ht="60" customHeight="1">
      <c r="A282" s="806" t="s">
        <v>13</v>
      </c>
      <c r="B282" s="807"/>
      <c r="C282" s="808"/>
      <c r="D282" s="785" t="str">
        <f>'OTHER REPORTS'!C34</f>
        <v>RTG211</v>
      </c>
      <c r="E282" s="787"/>
      <c r="F282" s="782" t="str">
        <f>'OTHER REPORTS'!D34</f>
        <v>RTG217</v>
      </c>
      <c r="G282" s="783"/>
      <c r="H282" s="784"/>
      <c r="I282" s="373"/>
      <c r="J282" s="788" t="s">
        <v>146</v>
      </c>
      <c r="K282" s="789"/>
      <c r="L282" s="789"/>
      <c r="M282" s="789"/>
      <c r="N282" s="790"/>
      <c r="O282" s="785" t="str">
        <f>'OTHER REPORTS'!C38</f>
        <v>HTR263</v>
      </c>
      <c r="P282" s="787"/>
      <c r="Q282" s="782" t="str">
        <f>CONCATENATE('OTHER REPORTS'!D38)</f>
        <v>NIL</v>
      </c>
      <c r="R282" s="784"/>
      <c r="S282" s="799"/>
      <c r="T282" s="800"/>
      <c r="U282" s="801"/>
      <c r="V282" s="776"/>
      <c r="W282" s="777"/>
      <c r="X282" s="778"/>
      <c r="Y282" s="779"/>
      <c r="Z282" s="781"/>
    </row>
    <row r="283" spans="1:28" s="226" customFormat="1" ht="60" customHeight="1">
      <c r="A283" s="788" t="s">
        <v>74</v>
      </c>
      <c r="B283" s="789"/>
      <c r="C283" s="790"/>
      <c r="D283" s="779" t="str">
        <f>CONCATENATE('OTHER REPORTS'!C35)</f>
        <v>NIL</v>
      </c>
      <c r="E283" s="781"/>
      <c r="F283" s="779" t="str">
        <f>'OTHER REPORTS'!D35</f>
        <v>NIL</v>
      </c>
      <c r="G283" s="780"/>
      <c r="H283" s="781"/>
      <c r="I283" s="373"/>
      <c r="J283" s="788" t="s">
        <v>135</v>
      </c>
      <c r="K283" s="789"/>
      <c r="L283" s="789"/>
      <c r="M283" s="789"/>
      <c r="N283" s="790"/>
      <c r="O283" s="779" t="str">
        <f>CONCATENATE('OTHER REPORTS'!C40)</f>
        <v>NIL</v>
      </c>
      <c r="P283" s="781"/>
      <c r="Q283" s="782" t="str">
        <f>CONCATENATE('OTHER REPORTS'!D40)</f>
        <v>NIL</v>
      </c>
      <c r="R283" s="784"/>
      <c r="S283" s="785"/>
      <c r="T283" s="786"/>
      <c r="U283" s="787"/>
      <c r="V283" s="776"/>
      <c r="W283" s="777"/>
      <c r="X283" s="778"/>
      <c r="Y283" s="779"/>
      <c r="Z283" s="781"/>
    </row>
    <row r="284" spans="1:28" s="226" customFormat="1" ht="60" customHeight="1">
      <c r="A284" s="788" t="s">
        <v>147</v>
      </c>
      <c r="B284" s="789"/>
      <c r="C284" s="790"/>
      <c r="D284" s="779" t="str">
        <f>'OTHER REPORTS'!C39</f>
        <v>OHS179</v>
      </c>
      <c r="E284" s="781"/>
      <c r="F284" s="782" t="str">
        <f>CONCATENATE('OTHER REPORTS'!D39)</f>
        <v>NIL</v>
      </c>
      <c r="G284" s="783"/>
      <c r="H284" s="784"/>
      <c r="I284" s="373"/>
      <c r="J284" s="788" t="s">
        <v>148</v>
      </c>
      <c r="K284" s="789"/>
      <c r="L284" s="789"/>
      <c r="M284" s="789"/>
      <c r="N284" s="790"/>
      <c r="O284" s="779" t="str">
        <f>CONCATENATE('OTHER REPORTS'!C41)</f>
        <v>NIL</v>
      </c>
      <c r="P284" s="781"/>
      <c r="Q284" s="782" t="str">
        <f>CONCATENATE('OTHER REPORTS'!D41)</f>
        <v>NIL</v>
      </c>
      <c r="R284" s="784"/>
      <c r="S284" s="785"/>
      <c r="T284" s="786"/>
      <c r="U284" s="787"/>
      <c r="V284" s="776"/>
      <c r="W284" s="777"/>
      <c r="X284" s="778"/>
      <c r="Y284" s="779"/>
      <c r="Z284" s="781"/>
    </row>
    <row r="285" spans="1:28" s="226" customFormat="1" ht="60" customHeight="1">
      <c r="A285" s="780"/>
      <c r="B285" s="780"/>
      <c r="C285" s="780"/>
      <c r="D285" s="780"/>
      <c r="E285" s="780"/>
      <c r="F285" s="780"/>
      <c r="G285" s="780"/>
      <c r="H285" s="780"/>
      <c r="I285" s="780"/>
      <c r="J285" s="780"/>
      <c r="K285" s="780"/>
      <c r="L285" s="780"/>
      <c r="M285" s="780"/>
      <c r="N285" s="780"/>
      <c r="O285" s="780"/>
      <c r="P285" s="780"/>
      <c r="Q285" s="780"/>
      <c r="R285" s="780"/>
      <c r="S285" s="780"/>
      <c r="T285" s="780"/>
      <c r="U285" s="780"/>
      <c r="V285" s="780"/>
      <c r="W285" s="780"/>
      <c r="X285" s="780"/>
      <c r="Y285" s="780"/>
      <c r="Z285" s="780"/>
    </row>
    <row r="286" spans="1:28" s="226" customFormat="1" ht="137.25" customHeight="1">
      <c r="A286" s="798" t="s">
        <v>149</v>
      </c>
      <c r="B286" s="798"/>
      <c r="C286" s="798"/>
      <c r="D286" s="374">
        <f>'OTHER REPORTS'!B22</f>
        <v>2</v>
      </c>
      <c r="E286" s="794" t="s">
        <v>150</v>
      </c>
      <c r="F286" s="794"/>
      <c r="G286" s="794"/>
      <c r="H286" s="794"/>
      <c r="I286" s="419"/>
      <c r="J286" s="419"/>
      <c r="K286" s="419"/>
      <c r="L286" s="723" t="str">
        <f t="array" ref="L286">'OTHER REPORTS'!C22:C22</f>
        <v>STS2101. CARTENARY WIRE ROPE PULLEY DETACHED AND FELL DAMAGING A CONTAINER NO.TEMU NO. 0546445</v>
      </c>
      <c r="M286" s="724"/>
      <c r="N286" s="724"/>
      <c r="O286" s="724"/>
      <c r="P286" s="724"/>
      <c r="Q286" s="724"/>
      <c r="R286" s="724"/>
      <c r="S286" s="725"/>
      <c r="T286" s="720" t="s">
        <v>151</v>
      </c>
      <c r="U286" s="721"/>
      <c r="V286" s="722"/>
      <c r="W286" s="791" t="str">
        <f>'OTHER REPORTS'!J22</f>
        <v>RTG28 -STEERED INTO CONTAINER</v>
      </c>
      <c r="X286" s="792"/>
      <c r="Y286" s="792"/>
      <c r="Z286" s="793"/>
    </row>
    <row r="287" spans="1:28" s="226" customFormat="1" ht="56.25" customHeight="1">
      <c r="A287" s="733" t="s">
        <v>152</v>
      </c>
      <c r="B287" s="733"/>
      <c r="C287" s="733"/>
      <c r="D287" s="732" t="s">
        <v>153</v>
      </c>
      <c r="E287" s="732"/>
      <c r="F287" s="732"/>
      <c r="G287" s="603"/>
      <c r="H287" s="732" t="s">
        <v>154</v>
      </c>
      <c r="I287" s="732"/>
      <c r="J287" s="732"/>
      <c r="K287" s="732"/>
      <c r="L287" s="732"/>
      <c r="M287" s="732"/>
      <c r="N287" s="732" t="s">
        <v>155</v>
      </c>
      <c r="O287" s="732"/>
      <c r="P287" s="732"/>
      <c r="Q287" s="770" t="s">
        <v>156</v>
      </c>
      <c r="R287" s="771"/>
      <c r="S287" s="771"/>
      <c r="T287" s="771"/>
      <c r="U287" s="771"/>
      <c r="V287" s="772"/>
      <c r="W287" s="770" t="s">
        <v>157</v>
      </c>
      <c r="X287" s="771"/>
      <c r="Y287" s="771"/>
      <c r="Z287" s="772"/>
    </row>
    <row r="288" spans="1:28" s="226" customFormat="1">
      <c r="A288" s="726" t="str">
        <f>CONCATENATE('BERTH OCCUPANCY'!A5,"_",'BERTH OCCUPANCY'!B5)</f>
        <v>B16_CANANDRA</v>
      </c>
      <c r="B288" s="727"/>
      <c r="C288" s="728"/>
      <c r="D288" s="726" t="str">
        <f>CONCATENATE('BERTH OCCUPANCY'!C5,",",'BERTH OCCUPANCY'!D5,",",'BERTH OCCUPANCY'!E5,",",'BERTH OCCUPANCY'!F5)</f>
        <v>1603,1604,,</v>
      </c>
      <c r="E288" s="727"/>
      <c r="F288" s="728"/>
      <c r="G288" s="602"/>
      <c r="H288" s="726" t="str">
        <f>CONCATENATE('BERTH OCCUPANCY'!G5,",",'BERTH OCCUPANCY'!H5,",",'BERTH OCCUPANCY'!I5,",",'BERTH OCCUPANCY'!J5)</f>
        <v>1603,1604,,</v>
      </c>
      <c r="I288" s="727"/>
      <c r="J288" s="727"/>
      <c r="K288" s="727"/>
      <c r="L288" s="727"/>
      <c r="M288" s="728"/>
      <c r="N288" s="726" t="str">
        <f>CONCATENATE('BERTH OCCUPANCY'!K5,",",'BERTH OCCUPANCY'!L5,",",'BERTH OCCUPANCY'!M5,",",'BERTH OCCUPANCY'!N5)</f>
        <v>1603,1604,1605,</v>
      </c>
      <c r="O288" s="727"/>
      <c r="P288" s="728"/>
      <c r="Q288" s="773"/>
      <c r="R288" s="774"/>
      <c r="S288" s="774"/>
      <c r="T288" s="774"/>
      <c r="U288" s="774"/>
      <c r="V288" s="775"/>
      <c r="W288" s="773"/>
      <c r="X288" s="774"/>
      <c r="Y288" s="774"/>
      <c r="Z288" s="775"/>
    </row>
    <row r="289" spans="1:26" s="226" customFormat="1" ht="67.5" customHeight="1">
      <c r="A289" s="726" t="str">
        <f>CONCATENATE('BERTH OCCUPANCY'!A6,"_",'BERTH OCCUPANCY'!B6)</f>
        <v>B17A_SATTHA BHUM</v>
      </c>
      <c r="B289" s="727"/>
      <c r="C289" s="728"/>
      <c r="D289" s="726" t="str">
        <f>CONCATENATE('BERTH OCCUPANCY'!C6,",",'BERTH OCCUPANCY'!D6,",",'BERTH OCCUPANCY'!E6,",",'BERTH OCCUPANCY'!F6)</f>
        <v>1605,1804,1901,</v>
      </c>
      <c r="E289" s="727"/>
      <c r="F289" s="728"/>
      <c r="G289" s="602"/>
      <c r="H289" s="726" t="str">
        <f>CONCATENATE('BERTH OCCUPANCY'!G6,",",'BERTH OCCUPANCY'!H6,",",'BERTH OCCUPANCY'!I6,",",'BERTH OCCUPANCY'!J6)</f>
        <v>1605,,,</v>
      </c>
      <c r="I289" s="727"/>
      <c r="J289" s="727"/>
      <c r="K289" s="727"/>
      <c r="L289" s="727"/>
      <c r="M289" s="728"/>
      <c r="N289" s="726" t="str">
        <f>CONCATENATE('BERTH OCCUPANCY'!K6,",",'BERTH OCCUPANCY'!L6,",",'BERTH OCCUPANCY'!M6,",",'BERTH OCCUPANCY'!N6)</f>
        <v>1606,1804,,</v>
      </c>
      <c r="O289" s="727"/>
      <c r="P289" s="728"/>
      <c r="Q289" s="795" t="str">
        <f>'OTHER REPORTS'!B23</f>
        <v>STS/RMG</v>
      </c>
      <c r="R289" s="796"/>
      <c r="S289" s="797"/>
      <c r="T289" s="729" t="str">
        <f>'OTHER REPORTS'!C23</f>
        <v>STS2101</v>
      </c>
      <c r="U289" s="730"/>
      <c r="V289" s="731"/>
      <c r="W289" s="734" t="str">
        <f>'OTHER REPORTS'!C28</f>
        <v>MRTT: 108,109,110,113, 114,116,118, 121,122,123, 124.      TTT: 43, 44, 127,133,135,168, 169,248,252,       KTT: 191, 193, 194, 197,203, 212,223, 224, 226, 228, 235,                           HTR:169,173,187,195,246,248, 250,277,282, 284, 285, 288,290, 291,292,294,310,330 334,337,369,370,371,372,380,394,397,</v>
      </c>
      <c r="X289" s="735"/>
      <c r="Y289" s="735"/>
      <c r="Z289" s="736"/>
    </row>
    <row r="290" spans="1:26" s="226" customFormat="1" ht="67.5" customHeight="1">
      <c r="A290" s="726" t="str">
        <f>CONCATENATE('BERTH OCCUPANCY'!A7,"_",'BERTH OCCUPANCY'!B7)</f>
        <v>B17B_NIL</v>
      </c>
      <c r="B290" s="727"/>
      <c r="C290" s="728"/>
      <c r="D290" s="726" t="str">
        <f>CONCATENATE('BERTH OCCUPANCY'!C7,",",'BERTH OCCUPANCY'!D7,",",'BERTH OCCUPANCY'!E7,",",'BERTH OCCUPANCY'!F7)</f>
        <v>,,,</v>
      </c>
      <c r="E290" s="727"/>
      <c r="F290" s="728"/>
      <c r="G290" s="602"/>
      <c r="H290" s="726" t="str">
        <f>CONCATENATE('BERTH OCCUPANCY'!G7,",",'BERTH OCCUPANCY'!H7,",",'BERTH OCCUPANCY'!I7,",",'BERTH OCCUPANCY'!J7)</f>
        <v>,,,</v>
      </c>
      <c r="I290" s="727"/>
      <c r="J290" s="727"/>
      <c r="K290" s="727"/>
      <c r="L290" s="727"/>
      <c r="M290" s="728"/>
      <c r="N290" s="726" t="str">
        <f>CONCATENATE('BERTH OCCUPANCY'!K7,",",'BERTH OCCUPANCY'!L7,",",'BERTH OCCUPANCY'!M7,",",'BERTH OCCUPANCY'!N7)</f>
        <v>,,,</v>
      </c>
      <c r="O290" s="727"/>
      <c r="P290" s="728"/>
      <c r="Q290" s="729" t="str">
        <f>'OTHER REPORTS'!B24</f>
        <v>YARD CRANES</v>
      </c>
      <c r="R290" s="730"/>
      <c r="S290" s="731"/>
      <c r="T290" s="729" t="str">
        <f>'OTHER REPORTS'!C24</f>
        <v>RTG2-05, RTG28</v>
      </c>
      <c r="U290" s="730"/>
      <c r="V290" s="731"/>
      <c r="W290" s="740"/>
      <c r="X290" s="741"/>
      <c r="Y290" s="741"/>
      <c r="Z290" s="742"/>
    </row>
    <row r="291" spans="1:26" s="226" customFormat="1" ht="68.25" customHeight="1">
      <c r="A291" s="726" t="str">
        <f>CONCATENATE('BERTH OCCUPANCY'!A8,"_",'BERTH OCCUPANCY'!B8)</f>
        <v>B18_MSC DAISY</v>
      </c>
      <c r="B291" s="727"/>
      <c r="C291" s="728"/>
      <c r="D291" s="726" t="str">
        <f>CONCATENATE('BERTH OCCUPANCY'!C8,",",'BERTH OCCUPANCY'!D8,",",'BERTH OCCUPANCY'!E8,",",'BERTH OCCUPANCY'!F8)</f>
        <v>1902,1903,,</v>
      </c>
      <c r="E291" s="727"/>
      <c r="F291" s="728"/>
      <c r="G291" s="602"/>
      <c r="H291" s="726" t="str">
        <f>CONCATENATE('BERTH OCCUPANCY'!G8,",",'BERTH OCCUPANCY'!H8,",",'BERTH OCCUPANCY'!I8,",",'BERTH OCCUPANCY'!J8)</f>
        <v>1902,1903,,</v>
      </c>
      <c r="I291" s="727"/>
      <c r="J291" s="727"/>
      <c r="K291" s="727"/>
      <c r="L291" s="727"/>
      <c r="M291" s="728"/>
      <c r="N291" s="726" t="str">
        <f>CONCATENATE('BERTH OCCUPANCY'!K8,",",'BERTH OCCUPANCY'!L8,",",'BERTH OCCUPANCY'!M8,",",'BERTH OCCUPANCY'!N8)</f>
        <v>,1904,1905,</v>
      </c>
      <c r="O291" s="727"/>
      <c r="P291" s="728"/>
      <c r="Q291" s="518" t="str">
        <f>'OTHER REPORTS'!B25</f>
        <v>R/STACKERS &amp; ECH</v>
      </c>
      <c r="R291" s="518"/>
      <c r="S291" s="430"/>
      <c r="T291" s="729">
        <f>'OTHER REPORTS'!C25</f>
        <v>0</v>
      </c>
      <c r="U291" s="730"/>
      <c r="V291" s="731"/>
      <c r="W291" s="743" t="str">
        <f>'OTHER REPORTS'!C29</f>
        <v xml:space="preserve"> HK 41, 44, 45, 46, 49 ;  HH 33, 35.  ECH  07,09, 14, 17, 18, 20,24. </v>
      </c>
      <c r="X291" s="744"/>
      <c r="Y291" s="744"/>
      <c r="Z291" s="745"/>
    </row>
    <row r="292" spans="1:26" s="226" customFormat="1">
      <c r="A292" s="726" t="str">
        <f>CONCATENATE('BERTH OCCUPANCY'!A9,"_",'BERTH OCCUPANCY'!B9)</f>
        <v xml:space="preserve">B20_AMU JAMEEL </v>
      </c>
      <c r="B292" s="727"/>
      <c r="C292" s="728"/>
      <c r="D292" s="726" t="str">
        <f>CONCATENATE('BERTH OCCUPANCY'!C9,",",'BERTH OCCUPANCY'!D9,",",'BERTH OCCUPANCY'!E9,",",'BERTH OCCUPANCY'!F9)</f>
        <v>MHC201,,,</v>
      </c>
      <c r="E292" s="727"/>
      <c r="F292" s="728"/>
      <c r="G292" s="602"/>
      <c r="H292" s="726" t="str">
        <f>CONCATENATE('BERTH OCCUPANCY'!G9,",",'BERTH OCCUPANCY'!H9,",",'BERTH OCCUPANCY'!I9,",",'BERTH OCCUPANCY'!J9)</f>
        <v>MHC201,,,</v>
      </c>
      <c r="I292" s="727"/>
      <c r="J292" s="727"/>
      <c r="K292" s="727"/>
      <c r="L292" s="727"/>
      <c r="M292" s="728"/>
      <c r="N292" s="726" t="str">
        <f>CONCATENATE('BERTH OCCUPANCY'!K9,",",'BERTH OCCUPANCY'!L9,",",'BERTH OCCUPANCY'!N9,",",'BERTH OCCUPANCY'!M9)</f>
        <v>MHC201,MHC204,,</v>
      </c>
      <c r="O292" s="727"/>
      <c r="P292" s="728"/>
      <c r="Q292" s="516" t="str">
        <f>'OTHER REPORTS'!B26</f>
        <v>T/TRACTORS  &amp; TRAILERS</v>
      </c>
      <c r="R292" s="517"/>
      <c r="T292" s="729" t="str">
        <f>'OTHER REPORTS'!C26</f>
        <v>MRTT118</v>
      </c>
      <c r="U292" s="730"/>
      <c r="V292" s="731"/>
      <c r="W292" s="513" t="str">
        <f>'OTHER REPORTS'!C27</f>
        <v>RMG05   RTG- 18,19,21,22,23,25, 31,33, 35,39,45, 2-06, 2-07, 2-08, 2-10, 2-20, 2-22   MHC202, MHC203</v>
      </c>
      <c r="X292" s="514"/>
      <c r="Y292" s="514"/>
      <c r="Z292" s="515"/>
    </row>
    <row r="293" spans="1:26" s="226" customFormat="1" ht="67.5" customHeight="1">
      <c r="A293" s="726" t="str">
        <f>CONCATENATE('BERTH OCCUPANCY'!A10,"_",'BERTH OCCUPANCY'!B10)</f>
        <v>B21A_CMA/CGM FUZHOU</v>
      </c>
      <c r="B293" s="727"/>
      <c r="C293" s="728"/>
      <c r="D293" s="726" t="str">
        <f>CONCATENATE('BERTH OCCUPANCY'!C10,",",'BERTH OCCUPANCY'!J11,",",'BERTH OCCUPANCY'!E10,",",'BERTH OCCUPANCY'!F10)</f>
        <v>2101,,,</v>
      </c>
      <c r="E293" s="727"/>
      <c r="F293" s="728"/>
      <c r="G293" s="602"/>
      <c r="H293" s="726" t="str">
        <f>CONCATENATE('BERTH OCCUPANCY'!G10,",",'BERTH OCCUPANCY'!H10,",",'BERTH OCCUPANCY'!I10,",",'BERTH OCCUPANCY'!J10)</f>
        <v>,,,</v>
      </c>
      <c r="I293" s="727"/>
      <c r="J293" s="727"/>
      <c r="K293" s="727"/>
      <c r="L293" s="727"/>
      <c r="M293" s="728"/>
      <c r="N293" s="726" t="str">
        <f>CONCATENATE('BERTH OCCUPANCY'!K10,",",'BERTH OCCUPANCY'!L10,",",'BERTH OCCUPANCY'!M10,",",'BERTH OCCUPANCY'!N10)</f>
        <v>2102,2103,,</v>
      </c>
      <c r="O293" s="727"/>
      <c r="P293" s="728"/>
      <c r="Q293" s="734" t="s">
        <v>158</v>
      </c>
      <c r="R293" s="735"/>
      <c r="S293" s="735"/>
      <c r="T293" s="735"/>
      <c r="U293" s="735"/>
      <c r="V293" s="735"/>
      <c r="W293" s="735"/>
      <c r="X293" s="735"/>
      <c r="Y293" s="735"/>
      <c r="Z293" s="736"/>
    </row>
    <row r="294" spans="1:26" s="226" customFormat="1">
      <c r="A294" s="726" t="str">
        <f>CONCATENATE('BERTH OCCUPANCY'!A11,"_",'BERTH OCCUPANCY'!B11)</f>
        <v>B21B_NIL</v>
      </c>
      <c r="B294" s="727"/>
      <c r="C294" s="728"/>
      <c r="D294" s="726" t="str">
        <f>CONCATENATE('BERTH OCCUPANCY'!C11,",",'BERTH OCCUPANCY'!D11,",",'BERTH OCCUPANCY'!E11,",",'BERTH OCCUPANCY'!F11)</f>
        <v>,,,</v>
      </c>
      <c r="E294" s="727"/>
      <c r="F294" s="728"/>
      <c r="G294" s="602"/>
      <c r="H294" s="726" t="str">
        <f>CONCATENATE('BERTH OCCUPANCY'!G11,",",'BERTH OCCUPANCY'!H11,",",'BERTH OCCUPANCY'!I11,",",'BERTH OCCUPANCY'!J11)</f>
        <v>,,,</v>
      </c>
      <c r="I294" s="727"/>
      <c r="J294" s="727"/>
      <c r="K294" s="727"/>
      <c r="L294" s="727"/>
      <c r="M294" s="728"/>
      <c r="N294" s="726" t="str">
        <f>CONCATENATE('BERTH OCCUPANCY'!K11,",",'BERTH OCCUPANCY'!L11,",",'BERTH OCCUPANCY'!M11,",",'BERTH OCCUPANCY'!N11)</f>
        <v>,,,</v>
      </c>
      <c r="O294" s="727"/>
      <c r="P294" s="728"/>
      <c r="Q294" s="737"/>
      <c r="R294" s="738"/>
      <c r="S294" s="738"/>
      <c r="T294" s="738"/>
      <c r="U294" s="738"/>
      <c r="V294" s="738"/>
      <c r="W294" s="738"/>
      <c r="X294" s="738"/>
      <c r="Y294" s="738"/>
      <c r="Z294" s="739"/>
    </row>
    <row r="295" spans="1:26">
      <c r="A295" s="726" t="str">
        <f>CONCATENATE('BERTH OCCUPANCY'!A12,"_",'BERTH OCCUPANCY'!B12)</f>
        <v>B22_MARATHOPOLIS</v>
      </c>
      <c r="B295" s="727"/>
      <c r="C295" s="728"/>
      <c r="D295" s="726" t="str">
        <f>CONCATENATE('BERTH OCCUPANCY'!C12,",",'BERTH OCCUPANCY'!D12,",",'BERTH OCCUPANCY'!E12,",",'BERTH OCCUPANCY'!F12)</f>
        <v>2102/2103,2201,2202,2203</v>
      </c>
      <c r="E295" s="727"/>
      <c r="F295" s="728"/>
      <c r="G295" s="602"/>
      <c r="H295" s="726" t="str">
        <f>CONCATENATE('BERTH OCCUPANCY'!G12,",",'BERTH OCCUPANCY'!H12,",",'BERTH OCCUPANCY'!I12,",",'BERTH OCCUPANCY'!J12)</f>
        <v>2201,2202,2203,</v>
      </c>
      <c r="I295" s="727"/>
      <c r="J295" s="727"/>
      <c r="K295" s="727"/>
      <c r="L295" s="727"/>
      <c r="M295" s="728"/>
      <c r="N295" s="726" t="str">
        <f>CONCATENATE('BERTH OCCUPANCY'!K12,",",'BERTH OCCUPANCY'!L12,",",'BERTH OCCUPANCY'!M12,",",'BERTH OCCUPANCY'!N12)</f>
        <v>2201,2202,2203,</v>
      </c>
      <c r="O295" s="727"/>
      <c r="P295" s="728"/>
      <c r="Q295" s="740"/>
      <c r="R295" s="741"/>
      <c r="S295" s="741"/>
      <c r="T295" s="741"/>
      <c r="U295" s="741"/>
      <c r="V295" s="741"/>
      <c r="W295" s="741"/>
      <c r="X295" s="741"/>
      <c r="Y295" s="741"/>
      <c r="Z295" s="742"/>
    </row>
    <row r="301" spans="1:26">
      <c r="W301" s="231"/>
    </row>
  </sheetData>
  <sheetProtection algorithmName="SHA-512" hashValue="0mpBVHucJi4YITuwquwy5QEFL9W6H4IZpybweqfmN0zlx6IOl+BaciC9eviYnmu7x1hiAI1Nz0MUUisVTl8umQ==" saltValue="kwYVeVaUodtHI/51pG/ujQ==" spinCount="100000" sheet="1" selectLockedCells="1"/>
  <mergeCells count="446">
    <mergeCell ref="S87:Z87"/>
    <mergeCell ref="S166:Z166"/>
    <mergeCell ref="S183:Z183"/>
    <mergeCell ref="S184:Z184"/>
    <mergeCell ref="S176:Z176"/>
    <mergeCell ref="S122:Z122"/>
    <mergeCell ref="S124:Z124"/>
    <mergeCell ref="S146:Z146"/>
    <mergeCell ref="S147:Z147"/>
    <mergeCell ref="S169:Z169"/>
    <mergeCell ref="S170:Z170"/>
    <mergeCell ref="S136:Z136"/>
    <mergeCell ref="S135:Z135"/>
    <mergeCell ref="S141:Z141"/>
    <mergeCell ref="S226:Z226"/>
    <mergeCell ref="S213:Z213"/>
    <mergeCell ref="S235:Z235"/>
    <mergeCell ref="S231:Z231"/>
    <mergeCell ref="S222:Z222"/>
    <mergeCell ref="S227:Z227"/>
    <mergeCell ref="S228:Z228"/>
    <mergeCell ref="S229:Z229"/>
    <mergeCell ref="S230:Z230"/>
    <mergeCell ref="S221:Z221"/>
    <mergeCell ref="S224:Z224"/>
    <mergeCell ref="S225:Z225"/>
    <mergeCell ref="S232:Z232"/>
    <mergeCell ref="S233:Z233"/>
    <mergeCell ref="S234:Z234"/>
    <mergeCell ref="S217:Z217"/>
    <mergeCell ref="S216:Z216"/>
    <mergeCell ref="S237:Z237"/>
    <mergeCell ref="S167:Z167"/>
    <mergeCell ref="S203:Z203"/>
    <mergeCell ref="S204:Z204"/>
    <mergeCell ref="S205:Z205"/>
    <mergeCell ref="S174:Z174"/>
    <mergeCell ref="S175:Z175"/>
    <mergeCell ref="S168:Z168"/>
    <mergeCell ref="S223:Z223"/>
    <mergeCell ref="S193:Z193"/>
    <mergeCell ref="S198:Z198"/>
    <mergeCell ref="S199:Z199"/>
    <mergeCell ref="S220:Z220"/>
    <mergeCell ref="S180:Z180"/>
    <mergeCell ref="S181:Z181"/>
    <mergeCell ref="S189:Z189"/>
    <mergeCell ref="S196:Z196"/>
    <mergeCell ref="S197:Z197"/>
    <mergeCell ref="S212:Z212"/>
    <mergeCell ref="S206:Z206"/>
    <mergeCell ref="S218:Z218"/>
    <mergeCell ref="S200:Z200"/>
    <mergeCell ref="S219:Z219"/>
    <mergeCell ref="S236:Z236"/>
    <mergeCell ref="P96:R97"/>
    <mergeCell ref="S109:Z109"/>
    <mergeCell ref="A118:C118"/>
    <mergeCell ref="S98:Z98"/>
    <mergeCell ref="A119:C119"/>
    <mergeCell ref="S118:Z118"/>
    <mergeCell ref="A94:C97"/>
    <mergeCell ref="D96:F97"/>
    <mergeCell ref="S107:Z107"/>
    <mergeCell ref="E100:E101"/>
    <mergeCell ref="A140:C140"/>
    <mergeCell ref="A93:C93"/>
    <mergeCell ref="S134:Z134"/>
    <mergeCell ref="S155:Z155"/>
    <mergeCell ref="S156:Z156"/>
    <mergeCell ref="S157:Z157"/>
    <mergeCell ref="S159:Z159"/>
    <mergeCell ref="S152:Z152"/>
    <mergeCell ref="S151:Z151"/>
    <mergeCell ref="S142:Z142"/>
    <mergeCell ref="S144:Z144"/>
    <mergeCell ref="S143:Z143"/>
    <mergeCell ref="S145:Z145"/>
    <mergeCell ref="S94:Z94"/>
    <mergeCell ref="S99:Z99"/>
    <mergeCell ref="S158:Z158"/>
    <mergeCell ref="S153:Z153"/>
    <mergeCell ref="E141:E142"/>
    <mergeCell ref="S123:Z123"/>
    <mergeCell ref="S120:Z120"/>
    <mergeCell ref="A123:A124"/>
    <mergeCell ref="B123:B124"/>
    <mergeCell ref="C123:C124"/>
    <mergeCell ref="A99:C117"/>
    <mergeCell ref="A2:C2"/>
    <mergeCell ref="H140:O140"/>
    <mergeCell ref="E94:E95"/>
    <mergeCell ref="P2:R2"/>
    <mergeCell ref="S2:Z2"/>
    <mergeCell ref="S43:Z43"/>
    <mergeCell ref="S39:Z39"/>
    <mergeCell ref="S41:Z41"/>
    <mergeCell ref="S42:Z42"/>
    <mergeCell ref="S3:Z4"/>
    <mergeCell ref="S127:Z127"/>
    <mergeCell ref="S128:Z128"/>
    <mergeCell ref="S129:Z129"/>
    <mergeCell ref="S130:Z130"/>
    <mergeCell ref="S131:Z131"/>
    <mergeCell ref="S132:Z132"/>
    <mergeCell ref="S133:Z133"/>
    <mergeCell ref="H93:O93"/>
    <mergeCell ref="S96:Z96"/>
    <mergeCell ref="S97:Z97"/>
    <mergeCell ref="S95:Z95"/>
    <mergeCell ref="S108:Z108"/>
    <mergeCell ref="A98:C98"/>
    <mergeCell ref="S121:Z121"/>
    <mergeCell ref="S48:Z48"/>
    <mergeCell ref="P8:R21"/>
    <mergeCell ref="A34:A35"/>
    <mergeCell ref="B34:B35"/>
    <mergeCell ref="S56:Z56"/>
    <mergeCell ref="S61:Z61"/>
    <mergeCell ref="S60:Z60"/>
    <mergeCell ref="S59:Z59"/>
    <mergeCell ref="S55:Z55"/>
    <mergeCell ref="B11:B12"/>
    <mergeCell ref="E34:E35"/>
    <mergeCell ref="A25:A26"/>
    <mergeCell ref="B25:B26"/>
    <mergeCell ref="P34:R92"/>
    <mergeCell ref="S89:Z89"/>
    <mergeCell ref="S90:Z90"/>
    <mergeCell ref="S92:Z92"/>
    <mergeCell ref="A39:C92"/>
    <mergeCell ref="S84:Z84"/>
    <mergeCell ref="S85:Z85"/>
    <mergeCell ref="S86:Z86"/>
    <mergeCell ref="S88:Z88"/>
    <mergeCell ref="S83:Z83"/>
    <mergeCell ref="S80:Z80"/>
    <mergeCell ref="S1:Z1"/>
    <mergeCell ref="S77:Z77"/>
    <mergeCell ref="S71:Z71"/>
    <mergeCell ref="S65:Z65"/>
    <mergeCell ref="S78:Z78"/>
    <mergeCell ref="S69:Z69"/>
    <mergeCell ref="S79:Z79"/>
    <mergeCell ref="S47:Z47"/>
    <mergeCell ref="S66:Z66"/>
    <mergeCell ref="S58:Z58"/>
    <mergeCell ref="S64:Z64"/>
    <mergeCell ref="S54:Z54"/>
    <mergeCell ref="S50:Z50"/>
    <mergeCell ref="S62:Z62"/>
    <mergeCell ref="S52:Z52"/>
    <mergeCell ref="S49:Z49"/>
    <mergeCell ref="S67:Z67"/>
    <mergeCell ref="S76:Z76"/>
    <mergeCell ref="S26:Z26"/>
    <mergeCell ref="S28:Z28"/>
    <mergeCell ref="S25:Z25"/>
    <mergeCell ref="S57:Z57"/>
    <mergeCell ref="S63:Z63"/>
    <mergeCell ref="S53:Z53"/>
    <mergeCell ref="A11:A12"/>
    <mergeCell ref="A32:C33"/>
    <mergeCell ref="D32:F33"/>
    <mergeCell ref="F34:F35"/>
    <mergeCell ref="A37:A38"/>
    <mergeCell ref="B37:B38"/>
    <mergeCell ref="S33:Z33"/>
    <mergeCell ref="H5:O5"/>
    <mergeCell ref="H22:O22"/>
    <mergeCell ref="H31:O31"/>
    <mergeCell ref="S6:Z6"/>
    <mergeCell ref="S29:Z29"/>
    <mergeCell ref="A28:A29"/>
    <mergeCell ref="B28:B29"/>
    <mergeCell ref="E25:E26"/>
    <mergeCell ref="D10:F21"/>
    <mergeCell ref="A13:C17"/>
    <mergeCell ref="F23:F28"/>
    <mergeCell ref="A22:C22"/>
    <mergeCell ref="S35:Z35"/>
    <mergeCell ref="S36:Z36"/>
    <mergeCell ref="S38:Z38"/>
    <mergeCell ref="A1:C1"/>
    <mergeCell ref="S9:Z9"/>
    <mergeCell ref="S32:Z32"/>
    <mergeCell ref="S7:Z7"/>
    <mergeCell ref="S22:Z22"/>
    <mergeCell ref="S10:Z10"/>
    <mergeCell ref="S14:Z14"/>
    <mergeCell ref="S15:Z15"/>
    <mergeCell ref="S16:Z16"/>
    <mergeCell ref="S17:Z17"/>
    <mergeCell ref="S11:Z11"/>
    <mergeCell ref="S13:Z13"/>
    <mergeCell ref="S12:Z12"/>
    <mergeCell ref="S5:Z5"/>
    <mergeCell ref="A6:C7"/>
    <mergeCell ref="A8:A9"/>
    <mergeCell ref="S8:Z8"/>
    <mergeCell ref="E8:E9"/>
    <mergeCell ref="S23:Z23"/>
    <mergeCell ref="D6:F7"/>
    <mergeCell ref="B8:B9"/>
    <mergeCell ref="D1:R1"/>
    <mergeCell ref="A5:C5"/>
    <mergeCell ref="A31:C31"/>
    <mergeCell ref="S81:Z81"/>
    <mergeCell ref="S82:Z82"/>
    <mergeCell ref="S137:Z137"/>
    <mergeCell ref="S138:Z138"/>
    <mergeCell ref="S139:Z139"/>
    <mergeCell ref="S111:Z111"/>
    <mergeCell ref="S112:Z112"/>
    <mergeCell ref="S113:Z113"/>
    <mergeCell ref="S114:Z114"/>
    <mergeCell ref="S115:Z115"/>
    <mergeCell ref="S116:Z116"/>
    <mergeCell ref="S117:Z117"/>
    <mergeCell ref="S125:Z125"/>
    <mergeCell ref="S126:Z126"/>
    <mergeCell ref="S102:Z102"/>
    <mergeCell ref="S104:Z104"/>
    <mergeCell ref="S93:Z93"/>
    <mergeCell ref="S119:Z119"/>
    <mergeCell ref="S103:Z103"/>
    <mergeCell ref="S100:Z100"/>
    <mergeCell ref="S101:Z101"/>
    <mergeCell ref="S105:Z105"/>
    <mergeCell ref="S106:Z106"/>
    <mergeCell ref="S91:Z91"/>
    <mergeCell ref="AA8:AA9"/>
    <mergeCell ref="AA23:AA24"/>
    <mergeCell ref="AA35:AA36"/>
    <mergeCell ref="S46:Z46"/>
    <mergeCell ref="S27:Z27"/>
    <mergeCell ref="S30:Z30"/>
    <mergeCell ref="S70:Z70"/>
    <mergeCell ref="S72:Z72"/>
    <mergeCell ref="S75:Z75"/>
    <mergeCell ref="S73:Z73"/>
    <mergeCell ref="S19:Z19"/>
    <mergeCell ref="S40:Z40"/>
    <mergeCell ref="S20:Z20"/>
    <mergeCell ref="S21:Z21"/>
    <mergeCell ref="S18:Z18"/>
    <mergeCell ref="S24:Z24"/>
    <mergeCell ref="S74:Z74"/>
    <mergeCell ref="S44:Z44"/>
    <mergeCell ref="S51:Z51"/>
    <mergeCell ref="S34:Z34"/>
    <mergeCell ref="S45:Z45"/>
    <mergeCell ref="S68:Z68"/>
    <mergeCell ref="S31:Z31"/>
    <mergeCell ref="S37:Z37"/>
    <mergeCell ref="A283:C283"/>
    <mergeCell ref="A284:C284"/>
    <mergeCell ref="D280:E280"/>
    <mergeCell ref="S281:U281"/>
    <mergeCell ref="J280:N280"/>
    <mergeCell ref="J282:N282"/>
    <mergeCell ref="J283:N283"/>
    <mergeCell ref="V281:X281"/>
    <mergeCell ref="F281:H281"/>
    <mergeCell ref="O281:P281"/>
    <mergeCell ref="A282:C282"/>
    <mergeCell ref="A268:C268"/>
    <mergeCell ref="M276:Z276"/>
    <mergeCell ref="F280:H280"/>
    <mergeCell ref="A271:C271"/>
    <mergeCell ref="A275:C275"/>
    <mergeCell ref="A270:C270"/>
    <mergeCell ref="M270:Z270"/>
    <mergeCell ref="A277:C277"/>
    <mergeCell ref="M264:Z264"/>
    <mergeCell ref="Y280:Z280"/>
    <mergeCell ref="M274:Z274"/>
    <mergeCell ref="A279:R279"/>
    <mergeCell ref="S279:Z279"/>
    <mergeCell ref="S280:U280"/>
    <mergeCell ref="A278:C278"/>
    <mergeCell ref="A276:C276"/>
    <mergeCell ref="A266:C266"/>
    <mergeCell ref="M266:Z266"/>
    <mergeCell ref="M267:Z267"/>
    <mergeCell ref="V280:X280"/>
    <mergeCell ref="O280:P280"/>
    <mergeCell ref="H265:O265"/>
    <mergeCell ref="A264:C264"/>
    <mergeCell ref="A280:C280"/>
    <mergeCell ref="Y281:Z281"/>
    <mergeCell ref="J281:N281"/>
    <mergeCell ref="Q280:R280"/>
    <mergeCell ref="D281:E281"/>
    <mergeCell ref="M271:Z271"/>
    <mergeCell ref="A274:C274"/>
    <mergeCell ref="A273:C273"/>
    <mergeCell ref="M275:Z275"/>
    <mergeCell ref="M272:Z272"/>
    <mergeCell ref="A272:C272"/>
    <mergeCell ref="Q281:R281"/>
    <mergeCell ref="A281:C281"/>
    <mergeCell ref="S238:Z238"/>
    <mergeCell ref="S239:Z239"/>
    <mergeCell ref="S240:Z240"/>
    <mergeCell ref="S282:U282"/>
    <mergeCell ref="V284:X284"/>
    <mergeCell ref="O282:P282"/>
    <mergeCell ref="Q282:R282"/>
    <mergeCell ref="Q283:R283"/>
    <mergeCell ref="O284:P284"/>
    <mergeCell ref="Q284:R284"/>
    <mergeCell ref="S284:U284"/>
    <mergeCell ref="O283:P283"/>
    <mergeCell ref="M268:Z268"/>
    <mergeCell ref="M269:Z269"/>
    <mergeCell ref="S255:Z255"/>
    <mergeCell ref="S256:Z256"/>
    <mergeCell ref="S246:Z246"/>
    <mergeCell ref="V283:X283"/>
    <mergeCell ref="S249:Z249"/>
    <mergeCell ref="Y284:Z284"/>
    <mergeCell ref="M277:Z277"/>
    <mergeCell ref="S250:Z250"/>
    <mergeCell ref="S251:Z251"/>
    <mergeCell ref="S247:Z247"/>
    <mergeCell ref="S211:Z211"/>
    <mergeCell ref="S210:Z210"/>
    <mergeCell ref="S215:Z215"/>
    <mergeCell ref="S214:Z214"/>
    <mergeCell ref="S209:Z209"/>
    <mergeCell ref="S208:Z208"/>
    <mergeCell ref="S207:Z207"/>
    <mergeCell ref="S190:Z190"/>
    <mergeCell ref="S191:Z191"/>
    <mergeCell ref="S195:Z195"/>
    <mergeCell ref="S194:Z194"/>
    <mergeCell ref="S192:Z192"/>
    <mergeCell ref="S186:Z186"/>
    <mergeCell ref="S182:Z182"/>
    <mergeCell ref="S185:Z185"/>
    <mergeCell ref="S173:Z173"/>
    <mergeCell ref="S202:Z202"/>
    <mergeCell ref="S172:Z172"/>
    <mergeCell ref="S201:Z201"/>
    <mergeCell ref="S179:Z179"/>
    <mergeCell ref="S110:Z110"/>
    <mergeCell ref="S171:Z171"/>
    <mergeCell ref="S154:Z154"/>
    <mergeCell ref="S161:Z161"/>
    <mergeCell ref="S162:Z162"/>
    <mergeCell ref="S148:Z148"/>
    <mergeCell ref="S149:Z149"/>
    <mergeCell ref="S150:Z150"/>
    <mergeCell ref="S163:Z163"/>
    <mergeCell ref="S160:Z160"/>
    <mergeCell ref="S187:Z187"/>
    <mergeCell ref="S188:Z188"/>
    <mergeCell ref="S177:Z177"/>
    <mergeCell ref="S178:Z178"/>
    <mergeCell ref="S164:Z164"/>
    <mergeCell ref="S165:Z165"/>
    <mergeCell ref="W289:Z290"/>
    <mergeCell ref="H287:M287"/>
    <mergeCell ref="Q287:V288"/>
    <mergeCell ref="V282:X282"/>
    <mergeCell ref="N287:P287"/>
    <mergeCell ref="D290:F290"/>
    <mergeCell ref="F283:H283"/>
    <mergeCell ref="F284:H284"/>
    <mergeCell ref="S283:U283"/>
    <mergeCell ref="D282:E282"/>
    <mergeCell ref="D283:E283"/>
    <mergeCell ref="J284:N284"/>
    <mergeCell ref="W286:Z286"/>
    <mergeCell ref="Y282:Z282"/>
    <mergeCell ref="Y283:Z283"/>
    <mergeCell ref="D284:E284"/>
    <mergeCell ref="F282:H282"/>
    <mergeCell ref="A285:Z285"/>
    <mergeCell ref="E286:H286"/>
    <mergeCell ref="T290:V290"/>
    <mergeCell ref="Q289:S289"/>
    <mergeCell ref="Q290:S290"/>
    <mergeCell ref="A286:C286"/>
    <mergeCell ref="W287:Z288"/>
    <mergeCell ref="S248:Z248"/>
    <mergeCell ref="A262:C262"/>
    <mergeCell ref="S252:Z252"/>
    <mergeCell ref="S253:Z253"/>
    <mergeCell ref="S254:Z254"/>
    <mergeCell ref="S244:Z244"/>
    <mergeCell ref="S245:Z245"/>
    <mergeCell ref="S241:Z241"/>
    <mergeCell ref="M263:Z263"/>
    <mergeCell ref="S242:Z242"/>
    <mergeCell ref="S243:Z243"/>
    <mergeCell ref="A263:C263"/>
    <mergeCell ref="A257:C257"/>
    <mergeCell ref="D257:F257"/>
    <mergeCell ref="A258:C261"/>
    <mergeCell ref="S258:Z258"/>
    <mergeCell ref="D259:F261"/>
    <mergeCell ref="S259:Z259"/>
    <mergeCell ref="S260:Z260"/>
    <mergeCell ref="S261:Z261"/>
    <mergeCell ref="A295:C295"/>
    <mergeCell ref="D295:F295"/>
    <mergeCell ref="N295:P295"/>
    <mergeCell ref="H295:M295"/>
    <mergeCell ref="Q293:Z295"/>
    <mergeCell ref="N293:P293"/>
    <mergeCell ref="N291:P291"/>
    <mergeCell ref="D292:F292"/>
    <mergeCell ref="D293:F293"/>
    <mergeCell ref="H293:M293"/>
    <mergeCell ref="N294:P294"/>
    <mergeCell ref="D294:F294"/>
    <mergeCell ref="H294:M294"/>
    <mergeCell ref="A292:C292"/>
    <mergeCell ref="W291:Z291"/>
    <mergeCell ref="A291:C291"/>
    <mergeCell ref="D291:F291"/>
    <mergeCell ref="A294:C294"/>
    <mergeCell ref="N292:P292"/>
    <mergeCell ref="A293:C293"/>
    <mergeCell ref="T292:V292"/>
    <mergeCell ref="H292:M292"/>
    <mergeCell ref="T291:V291"/>
    <mergeCell ref="H291:M291"/>
    <mergeCell ref="T286:V286"/>
    <mergeCell ref="L286:S286"/>
    <mergeCell ref="N288:P288"/>
    <mergeCell ref="N289:P289"/>
    <mergeCell ref="N290:P290"/>
    <mergeCell ref="T289:V289"/>
    <mergeCell ref="A289:C289"/>
    <mergeCell ref="D287:F287"/>
    <mergeCell ref="A288:C288"/>
    <mergeCell ref="H288:M288"/>
    <mergeCell ref="A287:C287"/>
    <mergeCell ref="A290:C290"/>
    <mergeCell ref="H289:M289"/>
    <mergeCell ref="H290:M290"/>
    <mergeCell ref="D288:F288"/>
    <mergeCell ref="D289:F289"/>
  </mergeCells>
  <phoneticPr fontId="35" type="noConversion"/>
  <conditionalFormatting sqref="C9">
    <cfRule type="iconSet" priority="151">
      <iconSet iconSet="3TrafficLights2">
        <cfvo type="percent" val="0"/>
        <cfvo type="num" val="85"/>
        <cfvo type="num" val="90"/>
      </iconSet>
    </cfRule>
  </conditionalFormatting>
  <conditionalFormatting sqref="C12">
    <cfRule type="iconSet" priority="150">
      <iconSet iconSet="3TrafficLights2">
        <cfvo type="percent" val="0"/>
        <cfvo type="num" val="85"/>
        <cfvo type="num" val="90"/>
      </iconSet>
    </cfRule>
  </conditionalFormatting>
  <conditionalFormatting sqref="C26">
    <cfRule type="iconSet" priority="21">
      <iconSet iconSet="3TrafficLights2">
        <cfvo type="percent" val="0"/>
        <cfvo type="num" val="85"/>
        <cfvo type="num" val="90"/>
      </iconSet>
    </cfRule>
  </conditionalFormatting>
  <conditionalFormatting sqref="C29">
    <cfRule type="iconSet" priority="20">
      <iconSet iconSet="3TrafficLights2">
        <cfvo type="percent" val="0"/>
        <cfvo type="num" val="85"/>
        <cfvo type="num" val="90"/>
      </iconSet>
    </cfRule>
  </conditionalFormatting>
  <conditionalFormatting sqref="C35">
    <cfRule type="iconSet" priority="135">
      <iconSet iconSet="3TrafficLights2">
        <cfvo type="percent" val="0"/>
        <cfvo type="num" val="85"/>
        <cfvo type="num" val="90"/>
      </iconSet>
    </cfRule>
  </conditionalFormatting>
  <conditionalFormatting sqref="C38">
    <cfRule type="iconSet" priority="134">
      <iconSet iconSet="3TrafficLights2">
        <cfvo type="percent" val="0"/>
        <cfvo type="num" val="85"/>
        <cfvo type="num" val="90"/>
      </iconSet>
    </cfRule>
  </conditionalFormatting>
  <conditionalFormatting sqref="C120">
    <cfRule type="iconSet" priority="133">
      <iconSet iconSet="3TrafficLights2">
        <cfvo type="percent" val="0"/>
        <cfvo type="num" val="85"/>
        <cfvo type="num" val="90"/>
      </iconSet>
    </cfRule>
  </conditionalFormatting>
  <conditionalFormatting sqref="C121:C123">
    <cfRule type="iconSet" priority="132">
      <iconSet iconSet="3TrafficLights2">
        <cfvo type="percent" val="0"/>
        <cfvo type="num" val="85"/>
        <cfvo type="num" val="90"/>
      </iconSet>
    </cfRule>
  </conditionalFormatting>
  <conditionalFormatting sqref="C141">
    <cfRule type="iconSet" priority="853">
      <iconSet iconSet="3TrafficLights2">
        <cfvo type="percent" val="0"/>
        <cfvo type="num" val="85"/>
        <cfvo type="num" val="90"/>
      </iconSet>
    </cfRule>
  </conditionalFormatting>
  <conditionalFormatting sqref="E22">
    <cfRule type="cellIs" dxfId="50" priority="281" operator="greaterThan">
      <formula>0</formula>
    </cfRule>
    <cfRule type="cellIs" dxfId="49" priority="250" operator="greaterThan">
      <formula>0</formula>
    </cfRule>
  </conditionalFormatting>
  <conditionalFormatting sqref="E31">
    <cfRule type="cellIs" dxfId="48" priority="280" operator="greaterThan">
      <formula>0</formula>
    </cfRule>
    <cfRule type="cellIs" dxfId="47" priority="249" operator="greaterThan">
      <formula>0</formula>
    </cfRule>
  </conditionalFormatting>
  <conditionalFormatting sqref="E93">
    <cfRule type="cellIs" dxfId="46" priority="123" operator="greaterThan">
      <formula>0</formula>
    </cfRule>
    <cfRule type="cellIs" dxfId="45" priority="124" operator="greaterThan">
      <formula>0</formula>
    </cfRule>
    <cfRule type="cellIs" dxfId="44" priority="122" operator="greaterThan">
      <formula>0</formula>
    </cfRule>
    <cfRule type="cellIs" dxfId="43" priority="119" operator="greaterThan">
      <formula>0</formula>
    </cfRule>
  </conditionalFormatting>
  <conditionalFormatting sqref="E258">
    <cfRule type="cellIs" dxfId="42" priority="10" operator="greaterThan">
      <formula>0</formula>
    </cfRule>
    <cfRule type="cellIs" dxfId="41" priority="11" operator="greaterThan">
      <formula>0</formula>
    </cfRule>
    <cfRule type="cellIs" dxfId="40" priority="12" operator="greaterThan">
      <formula>0</formula>
    </cfRule>
    <cfRule type="cellIs" dxfId="39" priority="13" operator="greaterThan">
      <formula>0</formula>
    </cfRule>
  </conditionalFormatting>
  <conditionalFormatting sqref="E262:E265 E143:E256 E102:E117 E119 E121:E139">
    <cfRule type="cellIs" dxfId="38" priority="43" operator="greaterThan">
      <formula>0</formula>
    </cfRule>
  </conditionalFormatting>
  <conditionalFormatting sqref="E262:E265 E143:E256">
    <cfRule type="cellIs" dxfId="37" priority="36" operator="greaterThan">
      <formula>0</formula>
    </cfRule>
  </conditionalFormatting>
  <conditionalFormatting sqref="E263">
    <cfRule type="cellIs" dxfId="36" priority="41" operator="greaterThan">
      <formula>0</formula>
    </cfRule>
    <cfRule type="cellIs" dxfId="35" priority="42" operator="greaterThan">
      <formula>0</formula>
    </cfRule>
  </conditionalFormatting>
  <conditionalFormatting sqref="E264">
    <cfRule type="cellIs" dxfId="34" priority="32" operator="greaterThan">
      <formula>0</formula>
    </cfRule>
    <cfRule type="cellIs" dxfId="33" priority="35" operator="greaterThan">
      <formula>0</formula>
    </cfRule>
  </conditionalFormatting>
  <conditionalFormatting sqref="E268 E102:E117 E119 E121:E139 E5">
    <cfRule type="cellIs" dxfId="32" priority="285" operator="greaterThan">
      <formula>0</formula>
    </cfRule>
  </conditionalFormatting>
  <conditionalFormatting sqref="E268:E269">
    <cfRule type="cellIs" dxfId="31" priority="88" operator="greaterThan">
      <formula>0</formula>
    </cfRule>
    <cfRule type="cellIs" dxfId="30" priority="87" operator="greaterThan">
      <formula>0</formula>
    </cfRule>
  </conditionalFormatting>
  <conditionalFormatting sqref="E269:E278">
    <cfRule type="cellIs" dxfId="29" priority="76" operator="greaterThan">
      <formula>0</formula>
    </cfRule>
    <cfRule type="cellIs" dxfId="28" priority="75" operator="greaterThan">
      <formula>0</formula>
    </cfRule>
  </conditionalFormatting>
  <conditionalFormatting sqref="E270">
    <cfRule type="cellIs" dxfId="27" priority="74" operator="greaterThan">
      <formula>0</formula>
    </cfRule>
    <cfRule type="cellIs" dxfId="26" priority="71" operator="greaterThan">
      <formula>0</formula>
    </cfRule>
  </conditionalFormatting>
  <conditionalFormatting sqref="E271:E273">
    <cfRule type="cellIs" dxfId="25" priority="274" operator="greaterThan">
      <formula>0</formula>
    </cfRule>
  </conditionalFormatting>
  <conditionalFormatting sqref="E271:E278">
    <cfRule type="cellIs" dxfId="24" priority="251" operator="greaterThan">
      <formula>0</formula>
    </cfRule>
  </conditionalFormatting>
  <conditionalFormatting sqref="H266:H267">
    <cfRule type="iconSet" priority="141">
      <iconSet iconSet="3TrafficLights2">
        <cfvo type="percent" val="0"/>
        <cfvo type="num" val="85"/>
        <cfvo type="num" val="90"/>
      </iconSet>
    </cfRule>
  </conditionalFormatting>
  <conditionalFormatting sqref="H268:H269">
    <cfRule type="iconSet" priority="140">
      <iconSet iconSet="3TrafficLights2">
        <cfvo type="percent" val="0"/>
        <cfvo type="num" val="85"/>
        <cfvo type="num" val="90"/>
      </iconSet>
    </cfRule>
  </conditionalFormatting>
  <conditionalFormatting sqref="H270">
    <cfRule type="iconSet" priority="139">
      <iconSet iconSet="3TrafficLights2">
        <cfvo type="percent" val="0"/>
        <cfvo type="num" val="85"/>
        <cfvo type="num" val="90"/>
      </iconSet>
    </cfRule>
  </conditionalFormatting>
  <conditionalFormatting sqref="H271:H278">
    <cfRule type="iconSet" priority="138">
      <iconSet iconSet="3TrafficLights2">
        <cfvo type="percent" val="0"/>
        <cfvo type="num" val="85"/>
        <cfvo type="num" val="90"/>
      </iconSet>
    </cfRule>
  </conditionalFormatting>
  <conditionalFormatting sqref="L263">
    <cfRule type="iconSet" priority="37">
      <iconSet iconSet="3TrafficLights2">
        <cfvo type="percent" val="0"/>
        <cfvo type="num" val="85"/>
        <cfvo type="num" val="90"/>
      </iconSet>
    </cfRule>
  </conditionalFormatting>
  <conditionalFormatting sqref="L264">
    <cfRule type="iconSet" priority="31">
      <iconSet iconSet="3TrafficLights2">
        <cfvo type="percent" val="0"/>
        <cfvo type="num" val="85"/>
        <cfvo type="num" val="90"/>
      </iconSet>
    </cfRule>
  </conditionalFormatting>
  <conditionalFormatting sqref="M6:M21 M94:M117 M119:M139 M141:M256">
    <cfRule type="cellIs" dxfId="23" priority="44" operator="greaterThan">
      <formula>0</formula>
    </cfRule>
  </conditionalFormatting>
  <conditionalFormatting sqref="M23:M30 M32:M92 M264">
    <cfRule type="cellIs" dxfId="22" priority="568" operator="greaterThan">
      <formula>0</formula>
    </cfRule>
  </conditionalFormatting>
  <conditionalFormatting sqref="M258:M261">
    <cfRule type="cellIs" dxfId="21" priority="1" operator="greaterThan">
      <formula>0</formula>
    </cfRule>
  </conditionalFormatting>
  <conditionalFormatting sqref="N94:N97 N99:O117 N119:O139 N141:O256">
    <cfRule type="cellIs" dxfId="20" priority="113" operator="lessThan">
      <formula>0</formula>
    </cfRule>
  </conditionalFormatting>
  <conditionalFormatting sqref="N6:O21">
    <cfRule type="cellIs" dxfId="19" priority="45" operator="lessThan">
      <formula>0</formula>
    </cfRule>
  </conditionalFormatting>
  <conditionalFormatting sqref="N258:O261">
    <cfRule type="cellIs" dxfId="18" priority="8" operator="lessThan">
      <formula>0</formula>
    </cfRule>
  </conditionalFormatting>
  <conditionalFormatting sqref="O6:O117 O119:O139 O141:O256">
    <cfRule type="containsErrors" dxfId="17" priority="30">
      <formula>ISERROR(O6)</formula>
    </cfRule>
  </conditionalFormatting>
  <conditionalFormatting sqref="O258:O261">
    <cfRule type="containsErrors" dxfId="16" priority="7">
      <formula>ISERROR(O258)</formula>
    </cfRule>
  </conditionalFormatting>
  <conditionalFormatting sqref="P6">
    <cfRule type="iconSet" priority="747">
      <iconSet iconSet="3TrafficLights2">
        <cfvo type="percent" val="0"/>
        <cfvo type="num" val="85"/>
        <cfvo type="num" val="90"/>
      </iconSet>
    </cfRule>
  </conditionalFormatting>
  <conditionalFormatting sqref="P23">
    <cfRule type="iconSet" priority="145">
      <iconSet iconSet="3TrafficLights2">
        <cfvo type="percent" val="0"/>
        <cfvo type="num" val="90"/>
        <cfvo type="num" val="95"/>
      </iconSet>
    </cfRule>
  </conditionalFormatting>
  <conditionalFormatting sqref="P32">
    <cfRule type="iconSet" priority="144">
      <iconSet iconSet="3TrafficLights2">
        <cfvo type="percent" val="0"/>
        <cfvo type="num" val="85"/>
        <cfvo type="num" val="90"/>
      </iconSet>
    </cfRule>
  </conditionalFormatting>
  <conditionalFormatting sqref="P94">
    <cfRule type="iconSet" priority="108">
      <iconSet iconSet="3TrafficLights2">
        <cfvo type="percent" val="0"/>
        <cfvo type="num" val="85"/>
        <cfvo type="num" val="90"/>
      </iconSet>
    </cfRule>
  </conditionalFormatting>
  <conditionalFormatting sqref="P99">
    <cfRule type="iconSet" priority="14">
      <iconSet iconSet="3TrafficLights2">
        <cfvo type="percent" val="0"/>
        <cfvo type="num" val="85"/>
        <cfvo type="num" val="90"/>
      </iconSet>
    </cfRule>
  </conditionalFormatting>
  <conditionalFormatting sqref="P119">
    <cfRule type="iconSet" priority="19">
      <iconSet iconSet="3TrafficLights2">
        <cfvo type="percent" val="0"/>
        <cfvo type="num" val="85"/>
        <cfvo type="num" val="90"/>
      </iconSet>
    </cfRule>
  </conditionalFormatting>
  <conditionalFormatting sqref="P141">
    <cfRule type="iconSet" priority="857">
      <iconSet iconSet="3TrafficLights2">
        <cfvo type="percent" val="0"/>
        <cfvo type="num" val="85"/>
        <cfvo type="num" val="90"/>
      </iconSet>
    </cfRule>
  </conditionalFormatting>
  <conditionalFormatting sqref="P258">
    <cfRule type="iconSet" priority="6">
      <iconSet iconSet="3TrafficLights2">
        <cfvo type="percent" val="0"/>
        <cfvo type="num" val="85"/>
        <cfvo type="num" val="90"/>
      </iconSet>
    </cfRule>
  </conditionalFormatting>
  <conditionalFormatting sqref="R6 R23 N23:N30 N32:N92">
    <cfRule type="cellIs" dxfId="15" priority="717" operator="lessThan">
      <formula>0</formula>
    </cfRule>
  </conditionalFormatting>
  <conditionalFormatting sqref="R6 R23">
    <cfRule type="containsErrors" dxfId="14" priority="804">
      <formula>ISERROR(R6)</formula>
    </cfRule>
  </conditionalFormatting>
  <conditionalFormatting sqref="R32 R141">
    <cfRule type="cellIs" dxfId="13" priority="53" operator="lessThan">
      <formula>0</formula>
    </cfRule>
    <cfRule type="containsErrors" dxfId="12" priority="54">
      <formula>ISERROR(R32)</formula>
    </cfRule>
  </conditionalFormatting>
  <conditionalFormatting sqref="R94">
    <cfRule type="containsErrors" dxfId="11" priority="110">
      <formula>ISERROR(R94)</formula>
    </cfRule>
    <cfRule type="cellIs" dxfId="10" priority="109" operator="lessThan">
      <formula>0</formula>
    </cfRule>
  </conditionalFormatting>
  <conditionalFormatting sqref="R99:R100">
    <cfRule type="cellIs" dxfId="9" priority="15" operator="lessThan">
      <formula>0</formula>
    </cfRule>
    <cfRule type="containsErrors" dxfId="8" priority="16">
      <formula>ISERROR(R99)</formula>
    </cfRule>
  </conditionalFormatting>
  <conditionalFormatting sqref="R119">
    <cfRule type="containsErrors" dxfId="7" priority="18">
      <formula>ISERROR(R119)</formula>
    </cfRule>
    <cfRule type="cellIs" dxfId="6" priority="17" operator="lessThan">
      <formula>0</formula>
    </cfRule>
  </conditionalFormatting>
  <conditionalFormatting sqref="R258">
    <cfRule type="cellIs" dxfId="5" priority="4" operator="lessThan">
      <formula>0</formula>
    </cfRule>
    <cfRule type="containsErrors" dxfId="4" priority="5">
      <formula>ISERROR(R258)</formula>
    </cfRule>
  </conditionalFormatting>
  <conditionalFormatting sqref="S23:S24 S25:Z25 S26 S27:Z30 S32:Z92 S99:S117 S119:Z119 S120:S125 S126:Z134 S135:S139 S141:S220 S221:Z256">
    <cfRule type="containsText" dxfId="3" priority="159" operator="containsText" text="OUT">
      <formula>NOT(ISERROR(SEARCH("OUT",S23)))</formula>
    </cfRule>
  </conditionalFormatting>
  <conditionalFormatting sqref="S6:Z21">
    <cfRule type="containsText" dxfId="2" priority="47" operator="containsText" text="OUT">
      <formula>NOT(ISERROR(SEARCH("OUT",S6)))</formula>
    </cfRule>
  </conditionalFormatting>
  <conditionalFormatting sqref="S94:Z97">
    <cfRule type="containsText" dxfId="1" priority="111" operator="containsText" text="OUT">
      <formula>NOT(ISERROR(SEARCH("OUT",S94)))</formula>
    </cfRule>
  </conditionalFormatting>
  <conditionalFormatting sqref="S258:Z261">
    <cfRule type="containsText" dxfId="0" priority="2" operator="containsText" text="OUT">
      <formula>NOT(ISERROR(SEARCH("OUT",S258)))</formula>
    </cfRule>
  </conditionalFormatting>
  <printOptions horizontalCentered="1" gridLines="1"/>
  <pageMargins left="0.23622047244094491" right="0.23622047244094491" top="0" bottom="0" header="0" footer="0"/>
  <pageSetup paperSize="9" scale="10" fitToHeight="0" orientation="portrait" r:id="rId1"/>
  <headerFooter scaleWithDoc="0"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P40"/>
  <sheetViews>
    <sheetView showRowColHeaders="0" view="pageBreakPreview" zoomScale="40" zoomScaleNormal="40" zoomScaleSheetLayoutView="40" workbookViewId="0">
      <pane xSplit="1" ySplit="8" topLeftCell="B9" activePane="bottomRight" state="frozen"/>
      <selection pane="topRight" activeCell="N2" sqref="N2"/>
      <selection pane="bottomLeft" activeCell="N2" sqref="N2"/>
      <selection pane="bottomRight" activeCell="B9" sqref="B9:C9"/>
    </sheetView>
  </sheetViews>
  <sheetFormatPr defaultColWidth="9.28515625" defaultRowHeight="16.5"/>
  <cols>
    <col min="1" max="1" width="26.7109375" style="8" customWidth="1"/>
    <col min="2" max="2" width="11" style="8" customWidth="1"/>
    <col min="3" max="3" width="65.7109375" style="8" customWidth="1"/>
    <col min="4" max="4" width="22.7109375" style="8" customWidth="1"/>
    <col min="5" max="5" width="26.7109375" style="8" bestFit="1" customWidth="1"/>
    <col min="6" max="6" width="1.7109375" style="8" customWidth="1"/>
    <col min="7" max="7" width="65.7109375" style="8" customWidth="1"/>
    <col min="8" max="8" width="22.7109375" style="8" customWidth="1"/>
    <col min="9" max="9" width="26.7109375" style="8" bestFit="1" customWidth="1"/>
    <col min="10" max="10" width="1.7109375" style="8" customWidth="1"/>
    <col min="11" max="11" width="65.7109375" style="8" customWidth="1"/>
    <col min="12" max="12" width="25.7109375" style="8" customWidth="1"/>
    <col min="13" max="13" width="26.7109375" style="8" bestFit="1" customWidth="1"/>
    <col min="14" max="14" width="1.7109375" style="8" customWidth="1"/>
    <col min="15" max="16" width="24.7109375" style="1" customWidth="1"/>
    <col min="17" max="16384" width="9.28515625" style="8"/>
  </cols>
  <sheetData>
    <row r="1" spans="1:16" s="4" customFormat="1" ht="30.75">
      <c r="A1" s="4">
        <v>1</v>
      </c>
      <c r="C1" s="892" t="s">
        <v>159</v>
      </c>
      <c r="D1" s="892"/>
      <c r="E1" s="892"/>
      <c r="F1" s="892"/>
      <c r="G1" s="892"/>
      <c r="H1" s="892"/>
      <c r="I1" s="892"/>
      <c r="J1" s="892"/>
      <c r="K1" s="892"/>
      <c r="L1" s="5"/>
      <c r="M1" s="5"/>
      <c r="N1" s="5"/>
      <c r="O1" s="98"/>
      <c r="P1" s="98"/>
    </row>
    <row r="2" spans="1:16" s="4" customFormat="1" ht="30.75">
      <c r="C2" s="896" t="s">
        <v>160</v>
      </c>
      <c r="D2" s="896"/>
      <c r="E2" s="896"/>
      <c r="F2" s="896"/>
      <c r="G2" s="896"/>
      <c r="H2" s="277" t="s">
        <v>161</v>
      </c>
      <c r="I2" s="260"/>
      <c r="J2" s="260"/>
      <c r="K2" s="260"/>
      <c r="L2" s="260"/>
      <c r="M2" s="96"/>
      <c r="N2" s="96"/>
      <c r="O2" s="98"/>
      <c r="P2" s="98"/>
    </row>
    <row r="3" spans="1:16" ht="31.5" customHeight="1">
      <c r="A3" s="6"/>
      <c r="B3" s="895" t="str">
        <f>'OTHER REPORTS'!A3</f>
        <v>TUESDAY 21ST OCTOBER 2025</v>
      </c>
      <c r="C3" s="895"/>
      <c r="D3" s="7"/>
      <c r="E3" s="7"/>
      <c r="I3" s="7"/>
      <c r="M3" s="7"/>
    </row>
    <row r="4" spans="1:16" s="11" customFormat="1" ht="27" customHeight="1">
      <c r="A4" s="9"/>
      <c r="B4" s="904" t="s">
        <v>162</v>
      </c>
      <c r="C4" s="904"/>
      <c r="D4" s="905"/>
      <c r="E4" s="45"/>
      <c r="F4" s="9"/>
      <c r="G4" s="893" t="s">
        <v>163</v>
      </c>
      <c r="H4" s="893"/>
      <c r="I4" s="45"/>
      <c r="J4" s="9"/>
      <c r="K4" s="894" t="s">
        <v>164</v>
      </c>
      <c r="L4" s="894"/>
      <c r="M4" s="45"/>
      <c r="N4" s="10"/>
      <c r="O4" s="903" t="s">
        <v>165</v>
      </c>
      <c r="P4" s="900" t="s">
        <v>166</v>
      </c>
    </row>
    <row r="5" spans="1:16" s="14" customFormat="1" ht="30.75" customHeight="1">
      <c r="A5" s="12" t="s">
        <v>167</v>
      </c>
      <c r="B5" s="189"/>
      <c r="C5" s="188" t="s">
        <v>168</v>
      </c>
      <c r="D5" s="190"/>
      <c r="E5" s="97"/>
      <c r="F5" s="12"/>
      <c r="G5" s="188" t="s">
        <v>678</v>
      </c>
      <c r="H5" s="389"/>
      <c r="I5" s="97"/>
      <c r="J5" s="12"/>
      <c r="K5" s="97" t="s">
        <v>257</v>
      </c>
      <c r="L5" s="44"/>
      <c r="M5" s="97"/>
      <c r="N5" s="13"/>
      <c r="O5" s="903"/>
      <c r="P5" s="901"/>
    </row>
    <row r="6" spans="1:16" s="14" customFormat="1" ht="49.5" customHeight="1">
      <c r="A6" s="899" t="s">
        <v>169</v>
      </c>
      <c r="B6" s="882" t="s">
        <v>9</v>
      </c>
      <c r="C6" s="197" t="s">
        <v>170</v>
      </c>
      <c r="D6" s="158">
        <v>9</v>
      </c>
      <c r="E6" s="156"/>
      <c r="F6" s="151"/>
      <c r="G6" s="197" t="s">
        <v>170</v>
      </c>
      <c r="H6" s="18">
        <v>10</v>
      </c>
      <c r="I6" s="156"/>
      <c r="J6" s="151"/>
      <c r="K6" s="197" t="s">
        <v>170</v>
      </c>
      <c r="L6" s="18">
        <v>10</v>
      </c>
      <c r="M6" s="468"/>
      <c r="N6" s="13"/>
      <c r="O6" s="903"/>
      <c r="P6" s="901"/>
    </row>
    <row r="7" spans="1:16" s="20" customFormat="1" ht="45" customHeight="1">
      <c r="A7" s="899"/>
      <c r="B7" s="883"/>
      <c r="C7" s="197" t="s">
        <v>171</v>
      </c>
      <c r="D7" s="18">
        <v>5</v>
      </c>
      <c r="E7" s="157"/>
      <c r="F7" s="17"/>
      <c r="G7" s="197" t="s">
        <v>171</v>
      </c>
      <c r="H7" s="18">
        <v>5</v>
      </c>
      <c r="I7" s="157"/>
      <c r="J7" s="17"/>
      <c r="K7" s="197" t="s">
        <v>171</v>
      </c>
      <c r="L7" s="18">
        <v>5</v>
      </c>
      <c r="M7" s="469"/>
      <c r="N7" s="19"/>
      <c r="O7" s="903"/>
      <c r="P7" s="902"/>
    </row>
    <row r="8" spans="1:16" s="25" customFormat="1" ht="36" customHeight="1">
      <c r="A8" s="103" t="s">
        <v>81</v>
      </c>
      <c r="B8" s="897" t="s">
        <v>172</v>
      </c>
      <c r="C8" s="898"/>
      <c r="D8" s="22" t="s">
        <v>109</v>
      </c>
      <c r="E8" s="22" t="s">
        <v>173</v>
      </c>
      <c r="F8" s="21"/>
      <c r="G8" s="104" t="s">
        <v>172</v>
      </c>
      <c r="H8" s="22" t="s">
        <v>109</v>
      </c>
      <c r="I8" s="22" t="s">
        <v>111</v>
      </c>
      <c r="J8" s="21"/>
      <c r="K8" s="258" t="s">
        <v>172</v>
      </c>
      <c r="L8" s="22" t="s">
        <v>109</v>
      </c>
      <c r="M8" s="22" t="s">
        <v>111</v>
      </c>
      <c r="N8" s="24"/>
      <c r="O8" s="46"/>
      <c r="P8" s="46"/>
    </row>
    <row r="9" spans="1:16" s="27" customFormat="1" ht="100.5" customHeight="1">
      <c r="A9" s="267" t="s">
        <v>83</v>
      </c>
      <c r="B9" s="872" t="s">
        <v>726</v>
      </c>
      <c r="C9" s="873"/>
      <c r="D9" s="176">
        <v>0</v>
      </c>
      <c r="E9" s="177">
        <v>10</v>
      </c>
      <c r="F9" s="136"/>
      <c r="G9" s="286" t="s">
        <v>134</v>
      </c>
      <c r="H9" s="216">
        <v>0</v>
      </c>
      <c r="I9" s="177">
        <v>0</v>
      </c>
      <c r="J9" s="136"/>
      <c r="K9" s="286" t="s">
        <v>134</v>
      </c>
      <c r="L9" s="176">
        <v>0</v>
      </c>
      <c r="M9" s="177">
        <v>0</v>
      </c>
      <c r="N9" s="137"/>
      <c r="O9" s="206">
        <f>SUM(D9+H9+L9)</f>
        <v>0</v>
      </c>
      <c r="P9" s="207">
        <f>E9+I9+M9</f>
        <v>10</v>
      </c>
    </row>
    <row r="10" spans="1:16" s="27" customFormat="1" ht="100.5" customHeight="1">
      <c r="A10" s="267" t="s">
        <v>84</v>
      </c>
      <c r="B10" s="872" t="s">
        <v>134</v>
      </c>
      <c r="C10" s="873"/>
      <c r="D10" s="176">
        <v>0</v>
      </c>
      <c r="E10" s="177">
        <v>0</v>
      </c>
      <c r="F10" s="136"/>
      <c r="G10" s="286" t="s">
        <v>134</v>
      </c>
      <c r="H10" s="216">
        <v>0</v>
      </c>
      <c r="I10" s="177">
        <v>0</v>
      </c>
      <c r="J10" s="136"/>
      <c r="K10" s="286" t="s">
        <v>134</v>
      </c>
      <c r="L10" s="176">
        <v>0</v>
      </c>
      <c r="M10" s="177">
        <v>0</v>
      </c>
      <c r="N10" s="137"/>
      <c r="O10" s="206">
        <f t="shared" ref="O10:O24" si="0">SUM(D10+H10+L10)</f>
        <v>0</v>
      </c>
      <c r="P10" s="207">
        <v>0</v>
      </c>
    </row>
    <row r="11" spans="1:16" s="27" customFormat="1" ht="100.5" customHeight="1">
      <c r="A11" s="267" t="s">
        <v>85</v>
      </c>
      <c r="B11" s="872" t="s">
        <v>134</v>
      </c>
      <c r="C11" s="873"/>
      <c r="D11" s="176">
        <v>0</v>
      </c>
      <c r="E11" s="177">
        <v>0</v>
      </c>
      <c r="F11" s="136"/>
      <c r="G11" s="286" t="s">
        <v>134</v>
      </c>
      <c r="H11" s="216">
        <v>0</v>
      </c>
      <c r="I11" s="177">
        <v>0</v>
      </c>
      <c r="J11" s="136"/>
      <c r="K11" s="286" t="s">
        <v>134</v>
      </c>
      <c r="L11" s="176">
        <v>0</v>
      </c>
      <c r="M11" s="177">
        <v>0</v>
      </c>
      <c r="N11" s="137"/>
      <c r="O11" s="206">
        <f t="shared" si="0"/>
        <v>0</v>
      </c>
      <c r="P11" s="207">
        <f t="shared" ref="P11:P24" si="1">E11+I11+M11</f>
        <v>0</v>
      </c>
    </row>
    <row r="12" spans="1:16" s="27" customFormat="1" ht="100.5" customHeight="1">
      <c r="A12" s="267" t="s">
        <v>86</v>
      </c>
      <c r="B12" s="872" t="s">
        <v>134</v>
      </c>
      <c r="C12" s="873"/>
      <c r="D12" s="176">
        <v>0</v>
      </c>
      <c r="E12" s="177">
        <v>0</v>
      </c>
      <c r="F12" s="136"/>
      <c r="G12" s="286" t="s">
        <v>134</v>
      </c>
      <c r="H12" s="216">
        <v>0</v>
      </c>
      <c r="I12" s="177">
        <v>0</v>
      </c>
      <c r="J12" s="136"/>
      <c r="K12" s="209" t="s">
        <v>134</v>
      </c>
      <c r="L12" s="176">
        <v>0</v>
      </c>
      <c r="M12" s="177">
        <v>0</v>
      </c>
      <c r="N12" s="137"/>
      <c r="O12" s="206">
        <f t="shared" si="0"/>
        <v>0</v>
      </c>
      <c r="P12" s="207">
        <f t="shared" si="1"/>
        <v>0</v>
      </c>
    </row>
    <row r="13" spans="1:16" s="27" customFormat="1" ht="100.5" customHeight="1">
      <c r="A13" s="267" t="s">
        <v>87</v>
      </c>
      <c r="B13" s="872" t="s">
        <v>675</v>
      </c>
      <c r="C13" s="873"/>
      <c r="D13" s="176">
        <v>1.7361111111111112E-2</v>
      </c>
      <c r="E13" s="177">
        <v>1</v>
      </c>
      <c r="F13" s="136"/>
      <c r="G13" s="209" t="s">
        <v>675</v>
      </c>
      <c r="H13" s="216">
        <v>1.0416666666666666E-2</v>
      </c>
      <c r="I13" s="177">
        <v>1</v>
      </c>
      <c r="J13" s="136"/>
      <c r="K13" s="209" t="s">
        <v>722</v>
      </c>
      <c r="L13" s="176">
        <v>1.0416666666666666E-2</v>
      </c>
      <c r="M13" s="177">
        <v>1</v>
      </c>
      <c r="N13" s="137"/>
      <c r="O13" s="206">
        <f t="shared" si="0"/>
        <v>3.8194444444444441E-2</v>
      </c>
      <c r="P13" s="207">
        <f t="shared" si="1"/>
        <v>3</v>
      </c>
    </row>
    <row r="14" spans="1:16" s="27" customFormat="1" ht="100.5" customHeight="1">
      <c r="A14" s="267" t="s">
        <v>88</v>
      </c>
      <c r="B14" s="872" t="s">
        <v>134</v>
      </c>
      <c r="C14" s="873"/>
      <c r="D14" s="176">
        <v>0</v>
      </c>
      <c r="E14" s="177">
        <v>0</v>
      </c>
      <c r="F14" s="136"/>
      <c r="G14" s="286" t="s">
        <v>134</v>
      </c>
      <c r="H14" s="216">
        <v>0</v>
      </c>
      <c r="I14" s="177">
        <v>0</v>
      </c>
      <c r="J14" s="136"/>
      <c r="K14" s="209" t="s">
        <v>134</v>
      </c>
      <c r="L14" s="176">
        <v>0</v>
      </c>
      <c r="M14" s="177">
        <v>0</v>
      </c>
      <c r="N14" s="137"/>
      <c r="O14" s="206">
        <f t="shared" si="0"/>
        <v>0</v>
      </c>
      <c r="P14" s="207">
        <f t="shared" si="1"/>
        <v>0</v>
      </c>
    </row>
    <row r="15" spans="1:16" s="27" customFormat="1" ht="100.5" customHeight="1">
      <c r="A15" s="267" t="s">
        <v>89</v>
      </c>
      <c r="B15" s="872" t="s">
        <v>134</v>
      </c>
      <c r="C15" s="873"/>
      <c r="D15" s="176">
        <v>0</v>
      </c>
      <c r="E15" s="177">
        <v>0</v>
      </c>
      <c r="F15" s="136"/>
      <c r="G15" s="209" t="s">
        <v>134</v>
      </c>
      <c r="H15" s="216">
        <v>0</v>
      </c>
      <c r="I15" s="177">
        <v>0</v>
      </c>
      <c r="J15" s="136"/>
      <c r="K15" s="286" t="s">
        <v>134</v>
      </c>
      <c r="L15" s="176">
        <v>0</v>
      </c>
      <c r="M15" s="177">
        <v>0</v>
      </c>
      <c r="N15" s="137"/>
      <c r="O15" s="206">
        <f t="shared" si="0"/>
        <v>0</v>
      </c>
      <c r="P15" s="207">
        <f t="shared" si="1"/>
        <v>0</v>
      </c>
    </row>
    <row r="16" spans="1:16" s="27" customFormat="1" ht="100.5" customHeight="1">
      <c r="A16" s="267" t="s">
        <v>90</v>
      </c>
      <c r="B16" s="872" t="s">
        <v>685</v>
      </c>
      <c r="C16" s="873"/>
      <c r="D16" s="176">
        <v>0.1701388888888889</v>
      </c>
      <c r="E16" s="177">
        <v>2</v>
      </c>
      <c r="F16" s="136"/>
      <c r="G16" s="209" t="s">
        <v>693</v>
      </c>
      <c r="H16" s="216">
        <v>1.7361111111111112E-2</v>
      </c>
      <c r="I16" s="177">
        <v>2</v>
      </c>
      <c r="J16" s="136"/>
      <c r="K16" s="209" t="s">
        <v>675</v>
      </c>
      <c r="L16" s="176">
        <v>3.472222222222222E-3</v>
      </c>
      <c r="M16" s="177">
        <v>1</v>
      </c>
      <c r="N16" s="137"/>
      <c r="O16" s="206">
        <f>SUM(D16+H16+L16)</f>
        <v>0.19097222222222221</v>
      </c>
      <c r="P16" s="207">
        <f t="shared" si="1"/>
        <v>5</v>
      </c>
    </row>
    <row r="17" spans="1:16" s="27" customFormat="1" ht="100.5" customHeight="1">
      <c r="A17" s="267" t="s">
        <v>91</v>
      </c>
      <c r="B17" s="872" t="s">
        <v>684</v>
      </c>
      <c r="C17" s="873"/>
      <c r="D17" s="176">
        <v>3.8194444444444448E-2</v>
      </c>
      <c r="E17" s="177">
        <v>2</v>
      </c>
      <c r="F17" s="136"/>
      <c r="G17" s="286" t="s">
        <v>134</v>
      </c>
      <c r="H17" s="216">
        <v>0</v>
      </c>
      <c r="I17" s="177">
        <v>0</v>
      </c>
      <c r="J17" s="136"/>
      <c r="K17" s="209" t="s">
        <v>715</v>
      </c>
      <c r="L17" s="176">
        <v>6.9444444444444441E-3</v>
      </c>
      <c r="M17" s="177">
        <v>1</v>
      </c>
      <c r="N17" s="137"/>
      <c r="O17" s="206">
        <f>SUM(D17+H17+L17)</f>
        <v>4.5138888888888895E-2</v>
      </c>
      <c r="P17" s="207">
        <f>E17+I17+M17</f>
        <v>3</v>
      </c>
    </row>
    <row r="18" spans="1:16" s="27" customFormat="1" ht="100.5" customHeight="1">
      <c r="A18" s="267" t="s">
        <v>92</v>
      </c>
      <c r="B18" s="872" t="s">
        <v>692</v>
      </c>
      <c r="C18" s="873"/>
      <c r="D18" s="176">
        <v>0.33333333333333331</v>
      </c>
      <c r="E18" s="177">
        <v>0</v>
      </c>
      <c r="F18" s="136"/>
      <c r="G18" s="209" t="s">
        <v>694</v>
      </c>
      <c r="H18" s="216">
        <v>7.2916666666666671E-2</v>
      </c>
      <c r="I18" s="177">
        <v>1</v>
      </c>
      <c r="J18" s="136"/>
      <c r="K18" s="209" t="s">
        <v>716</v>
      </c>
      <c r="L18" s="176">
        <v>6.9444444444444441E-3</v>
      </c>
      <c r="M18" s="177">
        <v>1</v>
      </c>
      <c r="N18" s="137"/>
      <c r="O18" s="206">
        <f t="shared" si="0"/>
        <v>0.41319444444444442</v>
      </c>
      <c r="P18" s="207">
        <f>E18+I18+M18</f>
        <v>2</v>
      </c>
    </row>
    <row r="19" spans="1:16" s="27" customFormat="1" ht="100.5" customHeight="1">
      <c r="A19" s="267" t="s">
        <v>93</v>
      </c>
      <c r="B19" s="872" t="s">
        <v>134</v>
      </c>
      <c r="C19" s="873"/>
      <c r="D19" s="176">
        <v>0</v>
      </c>
      <c r="E19" s="671">
        <v>0</v>
      </c>
      <c r="F19" s="136"/>
      <c r="G19" s="209" t="s">
        <v>695</v>
      </c>
      <c r="H19" s="216">
        <v>0.14930555555555555</v>
      </c>
      <c r="I19" s="177">
        <v>2</v>
      </c>
      <c r="J19" s="487"/>
      <c r="K19" s="466" t="s">
        <v>174</v>
      </c>
      <c r="L19" s="176">
        <v>0.33333333333333331</v>
      </c>
      <c r="M19" s="177">
        <v>0</v>
      </c>
      <c r="N19" s="137"/>
      <c r="O19" s="206">
        <f>SUM(D19+H19+L19)</f>
        <v>0.48263888888888884</v>
      </c>
      <c r="P19" s="207">
        <f>E19+I19+M19</f>
        <v>2</v>
      </c>
    </row>
    <row r="20" spans="1:16" s="27" customFormat="1" ht="100.5" customHeight="1">
      <c r="A20" s="267" t="s">
        <v>94</v>
      </c>
      <c r="B20" s="872" t="s">
        <v>134</v>
      </c>
      <c r="C20" s="873"/>
      <c r="D20" s="176">
        <v>0</v>
      </c>
      <c r="E20" s="177">
        <v>0</v>
      </c>
      <c r="F20" s="136"/>
      <c r="G20" s="209" t="s">
        <v>134</v>
      </c>
      <c r="H20" s="216">
        <v>0</v>
      </c>
      <c r="I20" s="177">
        <v>0</v>
      </c>
      <c r="J20" s="136"/>
      <c r="K20" s="466" t="s">
        <v>134</v>
      </c>
      <c r="L20" s="176">
        <v>0</v>
      </c>
      <c r="M20" s="177">
        <v>0</v>
      </c>
      <c r="N20" s="137"/>
      <c r="O20" s="206">
        <f t="shared" si="0"/>
        <v>0</v>
      </c>
      <c r="P20" s="207">
        <f>E20+H20+M20</f>
        <v>0</v>
      </c>
    </row>
    <row r="21" spans="1:16" s="27" customFormat="1" ht="100.5" customHeight="1">
      <c r="A21" s="267" t="s">
        <v>95</v>
      </c>
      <c r="B21" s="872" t="s">
        <v>696</v>
      </c>
      <c r="C21" s="873"/>
      <c r="D21" s="176">
        <v>0.12152777777777778</v>
      </c>
      <c r="E21" s="177">
        <v>1</v>
      </c>
      <c r="F21" s="136">
        <v>1</v>
      </c>
      <c r="G21" s="209" t="s">
        <v>697</v>
      </c>
      <c r="H21" s="216">
        <v>0.17708333333333334</v>
      </c>
      <c r="I21" s="177">
        <v>0</v>
      </c>
      <c r="J21" s="136"/>
      <c r="K21" s="209" t="s">
        <v>677</v>
      </c>
      <c r="L21" s="176">
        <v>2.0833333333333332E-2</v>
      </c>
      <c r="M21" s="177">
        <v>1</v>
      </c>
      <c r="N21" s="137"/>
      <c r="O21" s="206">
        <f>SUM(D21+H21+L21)</f>
        <v>0.31944444444444442</v>
      </c>
      <c r="P21" s="207">
        <f>E21+I21+M21</f>
        <v>2</v>
      </c>
    </row>
    <row r="22" spans="1:16" s="27" customFormat="1" ht="100.5" customHeight="1">
      <c r="A22" s="267" t="s">
        <v>175</v>
      </c>
      <c r="B22" s="872" t="s">
        <v>134</v>
      </c>
      <c r="C22" s="873"/>
      <c r="D22" s="176">
        <v>0</v>
      </c>
      <c r="E22" s="177">
        <v>0</v>
      </c>
      <c r="F22" s="136"/>
      <c r="G22" s="209" t="s">
        <v>134</v>
      </c>
      <c r="H22" s="216">
        <v>0</v>
      </c>
      <c r="I22" s="177">
        <v>0</v>
      </c>
      <c r="J22" s="136"/>
      <c r="K22" s="209" t="s">
        <v>134</v>
      </c>
      <c r="L22" s="176">
        <v>0</v>
      </c>
      <c r="M22" s="177">
        <v>0</v>
      </c>
      <c r="N22" s="137"/>
      <c r="O22" s="206">
        <f>SUM(D22+H22+L22)</f>
        <v>0</v>
      </c>
      <c r="P22" s="207">
        <f>E22+I22+M22</f>
        <v>0</v>
      </c>
    </row>
    <row r="23" spans="1:16" s="27" customFormat="1" ht="100.5" customHeight="1">
      <c r="A23" s="267" t="s">
        <v>176</v>
      </c>
      <c r="B23" s="872" t="s">
        <v>134</v>
      </c>
      <c r="C23" s="873"/>
      <c r="D23" s="176">
        <v>0</v>
      </c>
      <c r="E23" s="177">
        <v>0</v>
      </c>
      <c r="F23" s="136"/>
      <c r="G23" s="209" t="s">
        <v>134</v>
      </c>
      <c r="H23" s="216">
        <v>0</v>
      </c>
      <c r="I23" s="177">
        <v>0</v>
      </c>
      <c r="J23" s="136"/>
      <c r="K23" s="209" t="s">
        <v>134</v>
      </c>
      <c r="L23" s="176">
        <v>0</v>
      </c>
      <c r="M23" s="177">
        <v>0</v>
      </c>
      <c r="N23" s="137"/>
      <c r="O23" s="206">
        <f>SUM(D23+H23+L23)</f>
        <v>0</v>
      </c>
      <c r="P23" s="207">
        <f>E23+I23+M23</f>
        <v>0</v>
      </c>
    </row>
    <row r="24" spans="1:16" s="27" customFormat="1" ht="100.5" customHeight="1">
      <c r="A24" s="267" t="s">
        <v>177</v>
      </c>
      <c r="B24" s="891" t="s">
        <v>134</v>
      </c>
      <c r="C24" s="873"/>
      <c r="D24" s="176">
        <v>0</v>
      </c>
      <c r="E24" s="177">
        <v>0</v>
      </c>
      <c r="F24" s="136"/>
      <c r="G24" s="209" t="s">
        <v>134</v>
      </c>
      <c r="H24" s="216">
        <v>0</v>
      </c>
      <c r="I24" s="177">
        <v>0</v>
      </c>
      <c r="J24" s="136"/>
      <c r="K24" s="209" t="s">
        <v>134</v>
      </c>
      <c r="L24" s="176">
        <v>0</v>
      </c>
      <c r="M24" s="177">
        <v>0</v>
      </c>
      <c r="N24" s="137"/>
      <c r="O24" s="206">
        <f t="shared" si="0"/>
        <v>0</v>
      </c>
      <c r="P24" s="207">
        <f t="shared" si="1"/>
        <v>0</v>
      </c>
    </row>
    <row r="25" spans="1:16" ht="16.5" customHeight="1">
      <c r="A25" s="876" t="s">
        <v>178</v>
      </c>
      <c r="B25" s="200" t="s">
        <v>179</v>
      </c>
      <c r="C25" s="201"/>
      <c r="D25" s="880">
        <f>SUM(D9:D24)</f>
        <v>0.68055555555555558</v>
      </c>
      <c r="E25" s="887"/>
      <c r="F25" s="201"/>
      <c r="G25" s="202"/>
      <c r="H25" s="889">
        <f>SUM(H9:H24)</f>
        <v>0.42708333333333337</v>
      </c>
      <c r="I25" s="887"/>
      <c r="J25" s="201"/>
      <c r="K25" s="209"/>
      <c r="L25" s="880">
        <f>SUM(L9:L24)</f>
        <v>0.38194444444444442</v>
      </c>
      <c r="M25" s="199">
        <v>0</v>
      </c>
      <c r="N25" s="201"/>
      <c r="O25" s="203"/>
      <c r="P25" s="203"/>
    </row>
    <row r="26" spans="1:16" ht="43.5" customHeight="1">
      <c r="A26" s="877"/>
      <c r="B26" s="204"/>
      <c r="C26" s="261" t="str">
        <f>C5</f>
        <v>KOMBE</v>
      </c>
      <c r="D26" s="881"/>
      <c r="E26" s="888"/>
      <c r="F26" s="201"/>
      <c r="G26" s="261" t="str">
        <f>G5</f>
        <v>AMUTI</v>
      </c>
      <c r="H26" s="890"/>
      <c r="I26" s="888"/>
      <c r="J26" s="201"/>
      <c r="K26" s="261" t="str">
        <f>K5</f>
        <v>NDIRANGU</v>
      </c>
      <c r="L26" s="881"/>
      <c r="M26" s="205">
        <v>0</v>
      </c>
      <c r="N26" s="201"/>
      <c r="O26" s="284">
        <f>SUM(O9:O24)</f>
        <v>1.4895833333333333</v>
      </c>
      <c r="P26" s="203"/>
    </row>
    <row r="27" spans="1:16" ht="43.5" customHeight="1">
      <c r="A27" s="884" t="s">
        <v>169</v>
      </c>
      <c r="B27" s="882" t="s">
        <v>11</v>
      </c>
      <c r="C27" s="193" t="s">
        <v>180</v>
      </c>
      <c r="D27" s="158">
        <v>5</v>
      </c>
      <c r="E27" s="156"/>
      <c r="F27" s="151"/>
      <c r="G27" s="193" t="s">
        <v>180</v>
      </c>
      <c r="H27" s="18">
        <v>5</v>
      </c>
      <c r="I27" s="156"/>
      <c r="J27" s="151"/>
      <c r="K27" s="193" t="s">
        <v>180</v>
      </c>
      <c r="L27" s="18">
        <v>5</v>
      </c>
      <c r="M27" s="156">
        <v>0</v>
      </c>
      <c r="N27" s="201"/>
      <c r="O27" s="284"/>
      <c r="P27" s="203"/>
    </row>
    <row r="28" spans="1:16" ht="43.5" customHeight="1">
      <c r="A28" s="885"/>
      <c r="B28" s="883"/>
      <c r="C28" s="193" t="s">
        <v>181</v>
      </c>
      <c r="D28" s="18">
        <v>2</v>
      </c>
      <c r="E28" s="157"/>
      <c r="F28" s="17"/>
      <c r="G28" s="193" t="s">
        <v>181</v>
      </c>
      <c r="H28" s="18">
        <v>2</v>
      </c>
      <c r="I28" s="157"/>
      <c r="J28" s="17"/>
      <c r="K28" s="193" t="s">
        <v>181</v>
      </c>
      <c r="L28" s="18">
        <v>2</v>
      </c>
      <c r="M28" s="157">
        <v>0</v>
      </c>
      <c r="N28" s="201"/>
      <c r="O28" s="284"/>
      <c r="P28" s="203"/>
    </row>
    <row r="29" spans="1:16" s="27" customFormat="1" ht="100.5" customHeight="1">
      <c r="A29" s="276" t="s">
        <v>182</v>
      </c>
      <c r="B29" s="874" t="s">
        <v>652</v>
      </c>
      <c r="C29" s="875"/>
      <c r="D29" s="216">
        <v>0.33333333333333331</v>
      </c>
      <c r="E29" s="217">
        <v>0</v>
      </c>
      <c r="F29" s="219"/>
      <c r="G29" s="209" t="s">
        <v>174</v>
      </c>
      <c r="H29" s="216">
        <v>0.33333333333333331</v>
      </c>
      <c r="I29" s="217">
        <v>0</v>
      </c>
      <c r="J29" s="219"/>
      <c r="K29" s="183" t="s">
        <v>174</v>
      </c>
      <c r="L29" s="216">
        <v>0.33333333333333331</v>
      </c>
      <c r="M29" s="486">
        <v>0</v>
      </c>
      <c r="N29" s="143"/>
      <c r="O29" s="215">
        <f t="shared" ref="O29:O36" si="2">SUM(D29+H29+L29)</f>
        <v>1</v>
      </c>
      <c r="P29" s="218">
        <f t="shared" ref="P29:P36" si="3">E29+I29+M29</f>
        <v>0</v>
      </c>
    </row>
    <row r="30" spans="1:16" s="27" customFormat="1" ht="100.5" customHeight="1">
      <c r="A30" s="276" t="s">
        <v>183</v>
      </c>
      <c r="B30" s="874" t="s">
        <v>134</v>
      </c>
      <c r="C30" s="875"/>
      <c r="D30" s="216">
        <v>0</v>
      </c>
      <c r="E30" s="217">
        <v>0</v>
      </c>
      <c r="F30" s="246"/>
      <c r="G30" s="209" t="s">
        <v>134</v>
      </c>
      <c r="H30" s="216">
        <v>0</v>
      </c>
      <c r="I30" s="217">
        <v>0</v>
      </c>
      <c r="J30" s="246"/>
      <c r="K30" s="183" t="s">
        <v>720</v>
      </c>
      <c r="L30" s="216">
        <v>4.8611111111111112E-2</v>
      </c>
      <c r="M30" s="217">
        <v>1</v>
      </c>
      <c r="N30" s="247"/>
      <c r="O30" s="215">
        <f t="shared" si="2"/>
        <v>4.8611111111111112E-2</v>
      </c>
      <c r="P30" s="218">
        <f t="shared" si="3"/>
        <v>1</v>
      </c>
    </row>
    <row r="31" spans="1:16" s="27" customFormat="1" ht="100.5" customHeight="1">
      <c r="A31" s="276" t="s">
        <v>184</v>
      </c>
      <c r="B31" s="874" t="s">
        <v>134</v>
      </c>
      <c r="C31" s="875"/>
      <c r="D31" s="216">
        <v>0</v>
      </c>
      <c r="E31" s="217">
        <v>0</v>
      </c>
      <c r="F31" s="219"/>
      <c r="G31" s="195" t="s">
        <v>134</v>
      </c>
      <c r="H31" s="216">
        <v>0</v>
      </c>
      <c r="I31" s="217">
        <v>0</v>
      </c>
      <c r="J31" s="219"/>
      <c r="K31" s="183" t="s">
        <v>134</v>
      </c>
      <c r="L31" s="216">
        <v>0</v>
      </c>
      <c r="M31" s="217">
        <v>0</v>
      </c>
      <c r="N31" s="143"/>
      <c r="O31" s="215">
        <f t="shared" si="2"/>
        <v>0</v>
      </c>
      <c r="P31" s="218">
        <f t="shared" si="3"/>
        <v>0</v>
      </c>
    </row>
    <row r="32" spans="1:16" s="27" customFormat="1" ht="100.5" customHeight="1">
      <c r="A32" s="276" t="s">
        <v>185</v>
      </c>
      <c r="B32" s="874" t="s">
        <v>134</v>
      </c>
      <c r="C32" s="875"/>
      <c r="D32" s="216">
        <v>0</v>
      </c>
      <c r="E32" s="217">
        <v>0</v>
      </c>
      <c r="F32" s="219"/>
      <c r="G32" s="209" t="s">
        <v>134</v>
      </c>
      <c r="H32" s="216">
        <v>0</v>
      </c>
      <c r="I32" s="217">
        <v>0</v>
      </c>
      <c r="J32" s="219"/>
      <c r="K32" s="183" t="s">
        <v>134</v>
      </c>
      <c r="L32" s="216">
        <v>0</v>
      </c>
      <c r="M32" s="217">
        <v>0</v>
      </c>
      <c r="N32" s="143"/>
      <c r="O32" s="215">
        <f t="shared" si="2"/>
        <v>0</v>
      </c>
      <c r="P32" s="218">
        <f t="shared" si="3"/>
        <v>0</v>
      </c>
    </row>
    <row r="33" spans="1:16" s="27" customFormat="1" ht="100.5" customHeight="1">
      <c r="A33" s="276" t="s">
        <v>186</v>
      </c>
      <c r="B33" s="874" t="s">
        <v>134</v>
      </c>
      <c r="C33" s="875"/>
      <c r="D33" s="216">
        <v>0</v>
      </c>
      <c r="E33" s="217">
        <v>0</v>
      </c>
      <c r="F33" s="219"/>
      <c r="G33" s="209" t="s">
        <v>134</v>
      </c>
      <c r="H33" s="216">
        <v>0</v>
      </c>
      <c r="I33" s="217">
        <v>0</v>
      </c>
      <c r="J33" s="219"/>
      <c r="K33" s="183" t="s">
        <v>134</v>
      </c>
      <c r="L33" s="216">
        <v>0</v>
      </c>
      <c r="M33" s="217">
        <v>0</v>
      </c>
      <c r="N33" s="143"/>
      <c r="O33" s="215">
        <f t="shared" si="2"/>
        <v>0</v>
      </c>
      <c r="P33" s="218">
        <f t="shared" si="3"/>
        <v>0</v>
      </c>
    </row>
    <row r="34" spans="1:16" s="27" customFormat="1" ht="100.5" customHeight="1">
      <c r="A34" s="276" t="s">
        <v>187</v>
      </c>
      <c r="B34" s="874" t="s">
        <v>134</v>
      </c>
      <c r="C34" s="875"/>
      <c r="D34" s="216">
        <v>0</v>
      </c>
      <c r="E34" s="217">
        <v>0</v>
      </c>
      <c r="F34" s="219"/>
      <c r="G34" s="209" t="s">
        <v>134</v>
      </c>
      <c r="H34" s="216">
        <v>0</v>
      </c>
      <c r="I34" s="217">
        <v>0</v>
      </c>
      <c r="J34" s="219"/>
      <c r="K34" s="183" t="s">
        <v>134</v>
      </c>
      <c r="L34" s="216">
        <v>0</v>
      </c>
      <c r="M34" s="217">
        <v>0</v>
      </c>
      <c r="N34" s="143"/>
      <c r="O34" s="215">
        <f t="shared" si="2"/>
        <v>0</v>
      </c>
      <c r="P34" s="218">
        <f t="shared" si="3"/>
        <v>0</v>
      </c>
    </row>
    <row r="35" spans="1:16" ht="43.5" customHeight="1">
      <c r="A35" s="276" t="s">
        <v>188</v>
      </c>
      <c r="B35" s="874" t="s">
        <v>134</v>
      </c>
      <c r="C35" s="875"/>
      <c r="D35" s="216">
        <v>0</v>
      </c>
      <c r="E35" s="217">
        <v>0</v>
      </c>
      <c r="F35" s="219"/>
      <c r="G35" s="585" t="s">
        <v>134</v>
      </c>
      <c r="H35" s="216">
        <v>0</v>
      </c>
      <c r="I35" s="217">
        <v>0</v>
      </c>
      <c r="J35" s="219"/>
      <c r="K35" s="183" t="s">
        <v>134</v>
      </c>
      <c r="L35" s="216">
        <v>0</v>
      </c>
      <c r="M35" s="217">
        <v>0</v>
      </c>
      <c r="N35" s="143"/>
      <c r="O35" s="215">
        <f t="shared" si="2"/>
        <v>0</v>
      </c>
      <c r="P35" s="218">
        <f t="shared" si="3"/>
        <v>0</v>
      </c>
    </row>
    <row r="36" spans="1:16" ht="30.75" customHeight="1">
      <c r="A36" s="276" t="s">
        <v>189</v>
      </c>
      <c r="B36" s="874" t="s">
        <v>134</v>
      </c>
      <c r="C36" s="875"/>
      <c r="D36" s="216">
        <v>0</v>
      </c>
      <c r="E36" s="217">
        <v>0</v>
      </c>
      <c r="F36" s="219"/>
      <c r="G36" s="286" t="s">
        <v>134</v>
      </c>
      <c r="H36" s="216">
        <v>0</v>
      </c>
      <c r="I36" s="217">
        <v>0</v>
      </c>
      <c r="J36" s="219"/>
      <c r="K36" s="183" t="s">
        <v>134</v>
      </c>
      <c r="L36" s="216">
        <v>0</v>
      </c>
      <c r="M36" s="217">
        <v>0</v>
      </c>
      <c r="N36" s="143"/>
      <c r="O36" s="215">
        <f t="shared" si="2"/>
        <v>0</v>
      </c>
      <c r="P36" s="218">
        <f t="shared" si="3"/>
        <v>0</v>
      </c>
    </row>
    <row r="37" spans="1:16" ht="30">
      <c r="A37" s="876" t="s">
        <v>178</v>
      </c>
      <c r="B37" s="204"/>
      <c r="C37" s="271"/>
      <c r="D37" s="878">
        <f>SUM(D29:D36)</f>
        <v>0.33333333333333331</v>
      </c>
      <c r="E37" s="272"/>
      <c r="F37" s="271"/>
      <c r="G37" s="271"/>
      <c r="H37" s="878">
        <f>SUM(H29:H36)</f>
        <v>0.33333333333333331</v>
      </c>
      <c r="I37" s="272"/>
      <c r="J37" s="271"/>
      <c r="K37" s="273"/>
      <c r="L37" s="880">
        <f>SUM(L29:L36)</f>
        <v>0.38194444444444442</v>
      </c>
      <c r="M37" s="217">
        <v>0</v>
      </c>
      <c r="N37" s="248"/>
      <c r="O37" s="284">
        <f>SUM(O29:O36)</f>
        <v>1.0486111111111112</v>
      </c>
      <c r="P37" s="203"/>
    </row>
    <row r="38" spans="1:16" ht="22.5">
      <c r="A38" s="876"/>
      <c r="B38" s="204"/>
      <c r="C38" s="274" t="str">
        <f>C5</f>
        <v>KOMBE</v>
      </c>
      <c r="D38" s="879"/>
      <c r="E38" s="275"/>
      <c r="F38" s="271"/>
      <c r="G38" s="274" t="str">
        <f>G5</f>
        <v>AMUTI</v>
      </c>
      <c r="H38" s="879"/>
      <c r="I38" s="275"/>
      <c r="J38" s="271"/>
      <c r="K38" s="274" t="str">
        <f>K5</f>
        <v>NDIRANGU</v>
      </c>
      <c r="L38" s="881"/>
      <c r="M38" s="204"/>
      <c r="N38" s="248"/>
      <c r="O38" s="284">
        <f>O37*60</f>
        <v>62.916666666666671</v>
      </c>
      <c r="P38" s="203"/>
    </row>
    <row r="39" spans="1:16">
      <c r="C39" s="886"/>
      <c r="G39" s="886"/>
      <c r="K39" s="886"/>
    </row>
    <row r="40" spans="1:16">
      <c r="C40" s="886"/>
      <c r="G40" s="886"/>
      <c r="K40" s="886"/>
    </row>
  </sheetData>
  <sheetProtection algorithmName="SHA-512" hashValue="O/qs73Nalwwkzf1/BnL+zHlQ1qgEUpgxWx54FZP7ybm7qdPeIP/CU6LZUL9m27Erg1RBqrs8uVoO8aLxiVW+4g==" saltValue="rPqXVbFqCce+Ft0tR2GjrQ==" spinCount="100000" sheet="1" selectLockedCells="1"/>
  <mergeCells count="50">
    <mergeCell ref="B8:C8"/>
    <mergeCell ref="A6:A7"/>
    <mergeCell ref="B6:B7"/>
    <mergeCell ref="P4:P7"/>
    <mergeCell ref="O4:O7"/>
    <mergeCell ref="B4:D4"/>
    <mergeCell ref="C1:K1"/>
    <mergeCell ref="G4:H4"/>
    <mergeCell ref="K4:L4"/>
    <mergeCell ref="B3:C3"/>
    <mergeCell ref="C2:G2"/>
    <mergeCell ref="C39:C40"/>
    <mergeCell ref="H25:H26"/>
    <mergeCell ref="B24:C24"/>
    <mergeCell ref="B21:C21"/>
    <mergeCell ref="B22:C22"/>
    <mergeCell ref="B23:C23"/>
    <mergeCell ref="E25:E26"/>
    <mergeCell ref="L25:L26"/>
    <mergeCell ref="L37:L38"/>
    <mergeCell ref="G39:G40"/>
    <mergeCell ref="K39:K40"/>
    <mergeCell ref="H37:H38"/>
    <mergeCell ref="I25:I26"/>
    <mergeCell ref="B9:C9"/>
    <mergeCell ref="B16:C16"/>
    <mergeCell ref="B18:C18"/>
    <mergeCell ref="B19:C19"/>
    <mergeCell ref="B10:C10"/>
    <mergeCell ref="B11:C11"/>
    <mergeCell ref="B13:C13"/>
    <mergeCell ref="B15:C15"/>
    <mergeCell ref="B14:C14"/>
    <mergeCell ref="B12:C12"/>
    <mergeCell ref="B17:C17"/>
    <mergeCell ref="B20:C20"/>
    <mergeCell ref="B30:C30"/>
    <mergeCell ref="A25:A26"/>
    <mergeCell ref="A37:A38"/>
    <mergeCell ref="D37:D38"/>
    <mergeCell ref="D25:D26"/>
    <mergeCell ref="B29:C29"/>
    <mergeCell ref="B31:C31"/>
    <mergeCell ref="B32:C32"/>
    <mergeCell ref="B33:C33"/>
    <mergeCell ref="B34:C34"/>
    <mergeCell ref="B35:C35"/>
    <mergeCell ref="B36:C36"/>
    <mergeCell ref="B27:B28"/>
    <mergeCell ref="A27:A28"/>
  </mergeCells>
  <phoneticPr fontId="35" type="noConversion"/>
  <pageMargins left="0.7" right="0.7" top="0.75" bottom="0.75" header="0.3" footer="0.3"/>
  <pageSetup scale="26" orientation="landscape" r:id="rId1"/>
  <rowBreaks count="1" manualBreakCount="1">
    <brk id="24" max="16383" man="1"/>
  </row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O101"/>
  <sheetViews>
    <sheetView zoomScale="40" zoomScaleNormal="40" zoomScaleSheetLayoutView="40" workbookViewId="0">
      <selection activeCell="J26" sqref="J26"/>
    </sheetView>
  </sheetViews>
  <sheetFormatPr defaultColWidth="9.28515625" defaultRowHeight="16.5"/>
  <cols>
    <col min="1" max="1" width="26.7109375" style="8" customWidth="1"/>
    <col min="2" max="2" width="65.7109375" style="8" customWidth="1"/>
    <col min="3" max="3" width="22.28515625" style="8" customWidth="1"/>
    <col min="4" max="4" width="25.28515625" style="8" customWidth="1"/>
    <col min="5" max="5" width="1.7109375" style="8" customWidth="1"/>
    <col min="6" max="6" width="65.7109375" style="8" customWidth="1"/>
    <col min="7" max="7" width="22.7109375" style="8" customWidth="1"/>
    <col min="8" max="8" width="25.28515625" style="8" customWidth="1"/>
    <col min="9" max="9" width="1.7109375" style="8" customWidth="1"/>
    <col min="10" max="10" width="65.7109375" style="8" customWidth="1"/>
    <col min="11" max="11" width="25.7109375" style="8" customWidth="1"/>
    <col min="12" max="12" width="25" style="8" customWidth="1"/>
    <col min="13" max="13" width="1.42578125" style="8" customWidth="1"/>
    <col min="14" max="14" width="48" style="1" customWidth="1"/>
    <col min="15" max="15" width="20" style="1" customWidth="1"/>
    <col min="16" max="16384" width="9.28515625" style="8"/>
  </cols>
  <sheetData>
    <row r="1" spans="1:15" s="4" customFormat="1" ht="30.75">
      <c r="B1" s="892" t="s">
        <v>159</v>
      </c>
      <c r="C1" s="892"/>
      <c r="D1" s="892"/>
      <c r="E1" s="892"/>
      <c r="F1" s="892"/>
      <c r="G1" s="892"/>
      <c r="H1" s="892"/>
      <c r="I1" s="892"/>
      <c r="J1" s="892"/>
      <c r="K1" s="5"/>
      <c r="L1" s="5"/>
      <c r="M1" s="5"/>
      <c r="N1" s="98"/>
      <c r="O1" s="98"/>
    </row>
    <row r="2" spans="1:15" s="4" customFormat="1" ht="30.75">
      <c r="B2" s="896" t="s">
        <v>190</v>
      </c>
      <c r="C2" s="896"/>
      <c r="D2" s="896"/>
      <c r="E2" s="896"/>
      <c r="F2" s="896"/>
      <c r="G2" s="259" t="s">
        <v>161</v>
      </c>
      <c r="H2" s="259"/>
      <c r="I2" s="259"/>
      <c r="J2" s="259"/>
      <c r="K2" s="259"/>
      <c r="L2" s="96"/>
      <c r="M2" s="96"/>
      <c r="N2" s="98"/>
      <c r="O2" s="98"/>
    </row>
    <row r="3" spans="1:15" ht="31.5" customHeight="1">
      <c r="A3" s="12"/>
      <c r="B3" s="388" t="str">
        <f>'OTHER REPORTS'!A3</f>
        <v>TUESDAY 21ST OCTOBER 2025</v>
      </c>
      <c r="C3" s="36"/>
      <c r="D3" s="41"/>
      <c r="H3" s="41"/>
      <c r="J3" s="8" t="s">
        <v>191</v>
      </c>
      <c r="L3" s="41"/>
    </row>
    <row r="4" spans="1:15" s="11" customFormat="1" ht="27" customHeight="1">
      <c r="A4" s="9"/>
      <c r="B4" s="99" t="s">
        <v>162</v>
      </c>
      <c r="C4" s="37"/>
      <c r="D4" s="43"/>
      <c r="E4" s="9"/>
      <c r="F4" s="100" t="s">
        <v>163</v>
      </c>
      <c r="G4" s="38"/>
      <c r="H4" s="257"/>
      <c r="I4" s="9"/>
      <c r="J4" s="101" t="s">
        <v>164</v>
      </c>
      <c r="K4" s="39"/>
      <c r="L4" s="43"/>
      <c r="M4" s="10"/>
      <c r="N4" s="909" t="s">
        <v>165</v>
      </c>
      <c r="O4" s="912" t="s">
        <v>166</v>
      </c>
    </row>
    <row r="5" spans="1:15" s="14" customFormat="1" ht="30.75" customHeight="1">
      <c r="A5" s="12" t="s">
        <v>167</v>
      </c>
      <c r="B5" s="192" t="str">
        <f>'STS RMG FAULTS'!C5</f>
        <v>KOMBE</v>
      </c>
      <c r="C5" s="40"/>
      <c r="D5" s="44"/>
      <c r="E5" s="35"/>
      <c r="F5" s="12" t="str">
        <f>'STS RMG FAULTS'!G5</f>
        <v>AMUTI</v>
      </c>
      <c r="G5" s="40"/>
      <c r="H5" s="44"/>
      <c r="I5" s="35"/>
      <c r="J5" s="192" t="str">
        <f>'STS RMG FAULTS'!K5</f>
        <v>NDIRANGU</v>
      </c>
      <c r="K5" s="40"/>
      <c r="L5" s="44"/>
      <c r="M5" s="13"/>
      <c r="N5" s="910"/>
      <c r="O5" s="913"/>
    </row>
    <row r="6" spans="1:15" s="14" customFormat="1" ht="53.25" customHeight="1">
      <c r="A6" s="917">
        <v>61</v>
      </c>
      <c r="B6" s="193" t="s">
        <v>180</v>
      </c>
      <c r="C6" s="147">
        <v>23</v>
      </c>
      <c r="D6" s="154"/>
      <c r="E6" s="148"/>
      <c r="F6" s="193" t="s">
        <v>180</v>
      </c>
      <c r="G6" s="150">
        <v>23</v>
      </c>
      <c r="H6" s="154"/>
      <c r="I6" s="148"/>
      <c r="J6" s="193" t="s">
        <v>180</v>
      </c>
      <c r="K6" s="18">
        <v>22</v>
      </c>
      <c r="L6" s="152"/>
      <c r="M6" s="13"/>
      <c r="N6" s="910"/>
      <c r="O6" s="913"/>
    </row>
    <row r="7" spans="1:15" s="20" customFormat="1" ht="51" customHeight="1">
      <c r="A7" s="918"/>
      <c r="B7" s="193" t="s">
        <v>181</v>
      </c>
      <c r="C7" s="147">
        <v>21</v>
      </c>
      <c r="D7" s="155"/>
      <c r="E7" s="149"/>
      <c r="F7" s="193" t="s">
        <v>181</v>
      </c>
      <c r="G7" s="150">
        <v>21</v>
      </c>
      <c r="H7" s="155"/>
      <c r="I7" s="149"/>
      <c r="J7" s="193" t="s">
        <v>181</v>
      </c>
      <c r="K7" s="18">
        <v>21</v>
      </c>
      <c r="L7" s="153"/>
      <c r="M7" s="19"/>
      <c r="N7" s="911"/>
      <c r="O7" s="914"/>
    </row>
    <row r="8" spans="1:15" s="20" customFormat="1" ht="51" customHeight="1">
      <c r="A8" s="186">
        <v>1</v>
      </c>
      <c r="B8" s="193" t="s">
        <v>192</v>
      </c>
      <c r="C8" s="147">
        <v>2</v>
      </c>
      <c r="D8" s="155"/>
      <c r="E8" s="149"/>
      <c r="F8" s="193" t="s">
        <v>192</v>
      </c>
      <c r="G8" s="150">
        <v>2</v>
      </c>
      <c r="H8" s="155"/>
      <c r="I8" s="149"/>
      <c r="J8" s="193" t="s">
        <v>192</v>
      </c>
      <c r="K8" s="18">
        <v>2</v>
      </c>
      <c r="L8" s="153"/>
      <c r="M8" s="19"/>
      <c r="N8" s="187"/>
      <c r="O8" s="185"/>
    </row>
    <row r="9" spans="1:15" s="25" customFormat="1" ht="36" customHeight="1">
      <c r="A9" s="21" t="s">
        <v>81</v>
      </c>
      <c r="B9" s="23" t="s">
        <v>172</v>
      </c>
      <c r="C9" s="22" t="s">
        <v>109</v>
      </c>
      <c r="D9" s="22" t="s">
        <v>111</v>
      </c>
      <c r="E9" s="21"/>
      <c r="F9" s="23" t="s">
        <v>172</v>
      </c>
      <c r="G9" s="22" t="s">
        <v>109</v>
      </c>
      <c r="H9" s="22" t="s">
        <v>111</v>
      </c>
      <c r="I9" s="21"/>
      <c r="J9" s="23" t="s">
        <v>172</v>
      </c>
      <c r="K9" s="22" t="s">
        <v>109</v>
      </c>
      <c r="L9" s="22" t="s">
        <v>111</v>
      </c>
      <c r="M9" s="24"/>
      <c r="N9" s="29"/>
      <c r="O9" s="29"/>
    </row>
    <row r="10" spans="1:15" s="140" customFormat="1" ht="63" customHeight="1">
      <c r="A10" s="267" t="s">
        <v>193</v>
      </c>
      <c r="B10" s="183" t="s">
        <v>134</v>
      </c>
      <c r="C10" s="176">
        <v>0</v>
      </c>
      <c r="D10" s="177">
        <v>0</v>
      </c>
      <c r="E10" s="136"/>
      <c r="F10" s="183" t="s">
        <v>134</v>
      </c>
      <c r="G10" s="176">
        <v>0</v>
      </c>
      <c r="H10" s="177">
        <v>0</v>
      </c>
      <c r="I10" s="136"/>
      <c r="J10" s="183" t="s">
        <v>134</v>
      </c>
      <c r="K10" s="176">
        <v>0</v>
      </c>
      <c r="L10" s="177">
        <v>0</v>
      </c>
      <c r="M10" s="137"/>
      <c r="N10" s="138">
        <f>SUM(C10+G10+K10)</f>
        <v>0</v>
      </c>
      <c r="O10" s="139">
        <f>D10+H10+L10</f>
        <v>0</v>
      </c>
    </row>
    <row r="11" spans="1:15" s="140" customFormat="1" ht="63" customHeight="1">
      <c r="A11" s="267" t="s">
        <v>194</v>
      </c>
      <c r="B11" s="183" t="s">
        <v>134</v>
      </c>
      <c r="C11" s="176">
        <v>0</v>
      </c>
      <c r="D11" s="177">
        <v>0</v>
      </c>
      <c r="E11" s="136"/>
      <c r="F11" s="183" t="s">
        <v>134</v>
      </c>
      <c r="G11" s="176">
        <v>0</v>
      </c>
      <c r="H11" s="177">
        <v>0</v>
      </c>
      <c r="I11" s="176">
        <v>0</v>
      </c>
      <c r="J11" s="183" t="s">
        <v>134</v>
      </c>
      <c r="K11" s="176">
        <v>0</v>
      </c>
      <c r="L11" s="177">
        <v>0</v>
      </c>
      <c r="M11" s="137"/>
      <c r="N11" s="138">
        <f t="shared" ref="N11:N55" si="0">SUM(C11+G11+K11)</f>
        <v>0</v>
      </c>
      <c r="O11" s="139">
        <f t="shared" ref="O11:O70" si="1">D11+H11+L11</f>
        <v>0</v>
      </c>
    </row>
    <row r="12" spans="1:15" s="140" customFormat="1" ht="63" customHeight="1">
      <c r="A12" s="267" t="s">
        <v>195</v>
      </c>
      <c r="B12" s="521" t="s">
        <v>134</v>
      </c>
      <c r="C12" s="176">
        <v>0</v>
      </c>
      <c r="D12" s="177">
        <v>0</v>
      </c>
      <c r="E12" s="136"/>
      <c r="F12" s="183" t="s">
        <v>134</v>
      </c>
      <c r="G12" s="176">
        <v>0</v>
      </c>
      <c r="H12" s="177">
        <v>0</v>
      </c>
      <c r="I12" s="136"/>
      <c r="J12" s="521" t="s">
        <v>134</v>
      </c>
      <c r="K12" s="176">
        <v>0</v>
      </c>
      <c r="L12" s="177">
        <v>0</v>
      </c>
      <c r="M12" s="137"/>
      <c r="N12" s="138">
        <f t="shared" si="0"/>
        <v>0</v>
      </c>
      <c r="O12" s="139">
        <f t="shared" si="1"/>
        <v>0</v>
      </c>
    </row>
    <row r="13" spans="1:15" s="140" customFormat="1" ht="63" customHeight="1">
      <c r="A13" s="267" t="s">
        <v>196</v>
      </c>
      <c r="B13" s="183" t="s">
        <v>134</v>
      </c>
      <c r="C13" s="176">
        <v>0</v>
      </c>
      <c r="D13" s="177">
        <v>0</v>
      </c>
      <c r="E13" s="136"/>
      <c r="F13" s="183" t="s">
        <v>134</v>
      </c>
      <c r="G13" s="176">
        <v>0</v>
      </c>
      <c r="H13" s="177">
        <v>0</v>
      </c>
      <c r="I13" s="136"/>
      <c r="J13" s="183" t="s">
        <v>134</v>
      </c>
      <c r="K13" s="176">
        <v>0</v>
      </c>
      <c r="L13" s="177">
        <v>0</v>
      </c>
      <c r="M13" s="137"/>
      <c r="N13" s="138">
        <f t="shared" ref="N13:N20" si="2">SUM(C13+G13+K13)</f>
        <v>0</v>
      </c>
      <c r="O13" s="139">
        <f t="shared" si="1"/>
        <v>0</v>
      </c>
    </row>
    <row r="14" spans="1:15" s="140" customFormat="1" ht="63" customHeight="1">
      <c r="A14" s="267" t="s">
        <v>197</v>
      </c>
      <c r="B14" s="183" t="s">
        <v>134</v>
      </c>
      <c r="C14" s="176">
        <v>0</v>
      </c>
      <c r="D14" s="177">
        <v>0</v>
      </c>
      <c r="E14" s="136"/>
      <c r="F14" s="183" t="s">
        <v>134</v>
      </c>
      <c r="G14" s="176">
        <v>0</v>
      </c>
      <c r="H14" s="177">
        <v>0</v>
      </c>
      <c r="I14" s="136"/>
      <c r="J14" s="183" t="s">
        <v>134</v>
      </c>
      <c r="K14" s="176">
        <v>0</v>
      </c>
      <c r="L14" s="177">
        <v>0</v>
      </c>
      <c r="M14" s="137"/>
      <c r="N14" s="138">
        <f>SUM(C14+G14+K14)</f>
        <v>0</v>
      </c>
      <c r="O14" s="139">
        <f t="shared" si="1"/>
        <v>0</v>
      </c>
    </row>
    <row r="15" spans="1:15" s="140" customFormat="1" ht="63" customHeight="1">
      <c r="A15" s="267" t="s">
        <v>198</v>
      </c>
      <c r="B15" s="183" t="s">
        <v>134</v>
      </c>
      <c r="C15" s="176">
        <v>0</v>
      </c>
      <c r="D15" s="177">
        <v>0</v>
      </c>
      <c r="E15" s="136"/>
      <c r="F15" s="183" t="s">
        <v>134</v>
      </c>
      <c r="G15" s="176">
        <v>0</v>
      </c>
      <c r="H15" s="177">
        <v>0</v>
      </c>
      <c r="I15" s="136"/>
      <c r="J15" s="183" t="s">
        <v>134</v>
      </c>
      <c r="K15" s="176">
        <v>0</v>
      </c>
      <c r="L15" s="177">
        <v>0</v>
      </c>
      <c r="M15" s="137"/>
      <c r="N15" s="138">
        <f t="shared" si="2"/>
        <v>0</v>
      </c>
      <c r="O15" s="139">
        <f t="shared" si="1"/>
        <v>0</v>
      </c>
    </row>
    <row r="16" spans="1:15" s="140" customFormat="1" ht="63" customHeight="1">
      <c r="A16" s="267" t="s">
        <v>199</v>
      </c>
      <c r="B16" s="183" t="s">
        <v>200</v>
      </c>
      <c r="C16" s="176">
        <v>0.33333333333333331</v>
      </c>
      <c r="D16" s="177">
        <v>0</v>
      </c>
      <c r="E16" s="136"/>
      <c r="F16" s="183" t="s">
        <v>174</v>
      </c>
      <c r="G16" s="176">
        <v>0.33333333333333331</v>
      </c>
      <c r="H16" s="177">
        <v>0</v>
      </c>
      <c r="I16" s="136"/>
      <c r="J16" s="183" t="s">
        <v>174</v>
      </c>
      <c r="K16" s="176">
        <v>0.33333333333333331</v>
      </c>
      <c r="L16" s="177">
        <v>0</v>
      </c>
      <c r="M16" s="137"/>
      <c r="N16" s="138">
        <f t="shared" si="2"/>
        <v>1</v>
      </c>
      <c r="O16" s="139">
        <f t="shared" si="1"/>
        <v>0</v>
      </c>
    </row>
    <row r="17" spans="1:15" s="140" customFormat="1" ht="63" customHeight="1">
      <c r="A17" s="267" t="s">
        <v>201</v>
      </c>
      <c r="B17" s="183" t="s">
        <v>202</v>
      </c>
      <c r="C17" s="176">
        <v>0</v>
      </c>
      <c r="D17" s="177">
        <v>0</v>
      </c>
      <c r="E17" s="136"/>
      <c r="F17" s="183" t="s">
        <v>174</v>
      </c>
      <c r="G17" s="176">
        <v>0</v>
      </c>
      <c r="H17" s="177">
        <v>0</v>
      </c>
      <c r="I17" s="136"/>
      <c r="J17" s="183" t="s">
        <v>174</v>
      </c>
      <c r="K17" s="176">
        <v>0</v>
      </c>
      <c r="L17" s="177">
        <v>0</v>
      </c>
      <c r="M17" s="137"/>
      <c r="N17" s="138">
        <f t="shared" si="2"/>
        <v>0</v>
      </c>
      <c r="O17" s="139">
        <f t="shared" si="1"/>
        <v>0</v>
      </c>
    </row>
    <row r="18" spans="1:15" s="140" customFormat="1" ht="63" customHeight="1">
      <c r="A18" s="267" t="s">
        <v>203</v>
      </c>
      <c r="B18" s="183" t="s">
        <v>668</v>
      </c>
      <c r="C18" s="176">
        <v>0.33333333333333331</v>
      </c>
      <c r="D18" s="177">
        <v>0</v>
      </c>
      <c r="E18" s="136"/>
      <c r="F18" s="183" t="s">
        <v>174</v>
      </c>
      <c r="G18" s="176">
        <v>0.33333333333333331</v>
      </c>
      <c r="H18" s="177">
        <v>0</v>
      </c>
      <c r="I18" s="136"/>
      <c r="J18" s="183" t="s">
        <v>174</v>
      </c>
      <c r="K18" s="176">
        <v>0.33333333333333331</v>
      </c>
      <c r="L18" s="177">
        <v>0</v>
      </c>
      <c r="M18" s="137"/>
      <c r="N18" s="138">
        <f t="shared" si="2"/>
        <v>1</v>
      </c>
      <c r="O18" s="139">
        <f t="shared" si="1"/>
        <v>0</v>
      </c>
    </row>
    <row r="19" spans="1:15" s="140" customFormat="1" ht="63" customHeight="1">
      <c r="A19" s="267" t="s">
        <v>204</v>
      </c>
      <c r="B19" s="521" t="s">
        <v>134</v>
      </c>
      <c r="C19" s="176">
        <v>0</v>
      </c>
      <c r="D19" s="177">
        <v>0</v>
      </c>
      <c r="E19" s="136"/>
      <c r="F19" s="183" t="s">
        <v>134</v>
      </c>
      <c r="G19" s="176">
        <v>0</v>
      </c>
      <c r="H19" s="177">
        <v>0</v>
      </c>
      <c r="I19" s="136"/>
      <c r="J19" s="183" t="s">
        <v>134</v>
      </c>
      <c r="K19" s="176">
        <v>0</v>
      </c>
      <c r="L19" s="177">
        <v>0</v>
      </c>
      <c r="M19" s="137"/>
      <c r="N19" s="138">
        <f t="shared" si="2"/>
        <v>0</v>
      </c>
      <c r="O19" s="139">
        <f t="shared" si="1"/>
        <v>0</v>
      </c>
    </row>
    <row r="20" spans="1:15" s="140" customFormat="1" ht="63" customHeight="1">
      <c r="A20" s="267" t="s">
        <v>205</v>
      </c>
      <c r="B20" s="183" t="s">
        <v>578</v>
      </c>
      <c r="C20" s="176">
        <v>0.33333333333333331</v>
      </c>
      <c r="D20" s="177">
        <v>0</v>
      </c>
      <c r="E20" s="136"/>
      <c r="F20" s="183" t="s">
        <v>174</v>
      </c>
      <c r="G20" s="176">
        <v>0.33333333333333331</v>
      </c>
      <c r="H20" s="177">
        <v>0</v>
      </c>
      <c r="I20" s="136"/>
      <c r="J20" s="183" t="s">
        <v>174</v>
      </c>
      <c r="K20" s="176">
        <v>0.33333333333333331</v>
      </c>
      <c r="L20" s="177">
        <v>0</v>
      </c>
      <c r="M20" s="137"/>
      <c r="N20" s="138">
        <f t="shared" si="2"/>
        <v>1</v>
      </c>
      <c r="O20" s="139">
        <f t="shared" si="1"/>
        <v>0</v>
      </c>
    </row>
    <row r="21" spans="1:15" s="140" customFormat="1" ht="63" customHeight="1">
      <c r="A21" s="267" t="s">
        <v>206</v>
      </c>
      <c r="B21" s="183" t="s">
        <v>578</v>
      </c>
      <c r="C21" s="176">
        <v>0.33333333333333331</v>
      </c>
      <c r="D21" s="177">
        <v>0</v>
      </c>
      <c r="E21" s="136"/>
      <c r="F21" s="183" t="s">
        <v>174</v>
      </c>
      <c r="G21" s="176">
        <v>0.33333333333333331</v>
      </c>
      <c r="H21" s="177">
        <v>0</v>
      </c>
      <c r="I21" s="136"/>
      <c r="J21" s="183" t="s">
        <v>174</v>
      </c>
      <c r="K21" s="176">
        <v>0.33333333333333331</v>
      </c>
      <c r="L21" s="177">
        <v>0</v>
      </c>
      <c r="M21" s="137"/>
      <c r="N21" s="138">
        <f t="shared" si="0"/>
        <v>1</v>
      </c>
      <c r="O21" s="139">
        <f>D21+H21+L21</f>
        <v>0</v>
      </c>
    </row>
    <row r="22" spans="1:15" s="140" customFormat="1" ht="63" customHeight="1">
      <c r="A22" s="267" t="s">
        <v>207</v>
      </c>
      <c r="B22" s="183" t="s">
        <v>683</v>
      </c>
      <c r="C22" s="176">
        <v>0.14583333333333334</v>
      </c>
      <c r="D22" s="177">
        <v>1</v>
      </c>
      <c r="E22" s="136"/>
      <c r="F22" s="183" t="s">
        <v>134</v>
      </c>
      <c r="G22" s="176">
        <v>0</v>
      </c>
      <c r="H22" s="177">
        <v>0</v>
      </c>
      <c r="I22" s="136"/>
      <c r="J22" s="183" t="s">
        <v>134</v>
      </c>
      <c r="K22" s="176">
        <v>0</v>
      </c>
      <c r="L22" s="177">
        <v>0</v>
      </c>
      <c r="M22" s="137">
        <v>1</v>
      </c>
      <c r="N22" s="138">
        <f t="shared" si="0"/>
        <v>0.14583333333333334</v>
      </c>
      <c r="O22" s="139">
        <f t="shared" si="1"/>
        <v>1</v>
      </c>
    </row>
    <row r="23" spans="1:15" s="140" customFormat="1" ht="63" customHeight="1">
      <c r="A23" s="267" t="s">
        <v>208</v>
      </c>
      <c r="B23" s="183" t="s">
        <v>134</v>
      </c>
      <c r="C23" s="176">
        <v>0</v>
      </c>
      <c r="D23" s="177">
        <v>0</v>
      </c>
      <c r="E23" s="136"/>
      <c r="F23" s="183" t="s">
        <v>134</v>
      </c>
      <c r="G23" s="176">
        <v>0</v>
      </c>
      <c r="H23" s="177">
        <v>0</v>
      </c>
      <c r="I23" s="136"/>
      <c r="J23" s="183" t="s">
        <v>134</v>
      </c>
      <c r="K23" s="176">
        <v>0</v>
      </c>
      <c r="L23" s="177">
        <v>0</v>
      </c>
      <c r="M23" s="137"/>
      <c r="N23" s="138">
        <f t="shared" si="0"/>
        <v>0</v>
      </c>
      <c r="O23" s="139">
        <f t="shared" si="1"/>
        <v>0</v>
      </c>
    </row>
    <row r="24" spans="1:15" s="140" customFormat="1" ht="63" customHeight="1">
      <c r="A24" s="267" t="s">
        <v>209</v>
      </c>
      <c r="B24" s="521" t="s">
        <v>134</v>
      </c>
      <c r="C24" s="176">
        <v>0</v>
      </c>
      <c r="D24" s="177">
        <v>0</v>
      </c>
      <c r="E24" s="244"/>
      <c r="F24" s="183" t="s">
        <v>134</v>
      </c>
      <c r="G24" s="176">
        <v>0</v>
      </c>
      <c r="H24" s="177">
        <v>0</v>
      </c>
      <c r="I24" s="136"/>
      <c r="J24" s="183" t="s">
        <v>134</v>
      </c>
      <c r="K24" s="176">
        <v>0</v>
      </c>
      <c r="L24" s="177">
        <v>0</v>
      </c>
      <c r="M24" s="137"/>
      <c r="N24" s="138">
        <f>SUM(C24+G24+K24)</f>
        <v>0</v>
      </c>
      <c r="O24" s="139">
        <f t="shared" si="1"/>
        <v>0</v>
      </c>
    </row>
    <row r="25" spans="1:15" s="140" customFormat="1" ht="63" customHeight="1">
      <c r="A25" s="267" t="s">
        <v>210</v>
      </c>
      <c r="B25" s="183" t="s">
        <v>682</v>
      </c>
      <c r="C25" s="176">
        <v>1.3888888888888888E-2</v>
      </c>
      <c r="D25" s="177">
        <v>1</v>
      </c>
      <c r="E25" s="136"/>
      <c r="F25" s="183" t="s">
        <v>134</v>
      </c>
      <c r="G25" s="176">
        <v>0</v>
      </c>
      <c r="H25" s="177">
        <v>0</v>
      </c>
      <c r="I25" s="136"/>
      <c r="J25" s="183" t="s">
        <v>721</v>
      </c>
      <c r="K25" s="176">
        <v>1.7361111111111112E-2</v>
      </c>
      <c r="L25" s="177">
        <v>2</v>
      </c>
      <c r="M25" s="137"/>
      <c r="N25" s="138">
        <f t="shared" si="0"/>
        <v>3.125E-2</v>
      </c>
      <c r="O25" s="139">
        <f t="shared" si="1"/>
        <v>3</v>
      </c>
    </row>
    <row r="26" spans="1:15" s="140" customFormat="1" ht="63" customHeight="1">
      <c r="A26" s="267" t="s">
        <v>211</v>
      </c>
      <c r="B26" s="183" t="s">
        <v>134</v>
      </c>
      <c r="C26" s="176">
        <v>0</v>
      </c>
      <c r="D26" s="177">
        <v>0</v>
      </c>
      <c r="E26" s="136"/>
      <c r="F26" s="183" t="s">
        <v>134</v>
      </c>
      <c r="G26" s="176">
        <v>0</v>
      </c>
      <c r="H26" s="177">
        <v>0</v>
      </c>
      <c r="I26" s="136"/>
      <c r="J26" s="183" t="s">
        <v>725</v>
      </c>
      <c r="K26" s="176">
        <v>0.2361111111111111</v>
      </c>
      <c r="L26" s="177">
        <v>1</v>
      </c>
      <c r="M26" s="137"/>
      <c r="N26" s="138">
        <f t="shared" si="0"/>
        <v>0.2361111111111111</v>
      </c>
      <c r="O26" s="139">
        <f t="shared" si="1"/>
        <v>1</v>
      </c>
    </row>
    <row r="27" spans="1:15" s="140" customFormat="1" ht="63" customHeight="1">
      <c r="A27" s="267" t="s">
        <v>212</v>
      </c>
      <c r="B27" s="183" t="s">
        <v>134</v>
      </c>
      <c r="C27" s="176">
        <v>0</v>
      </c>
      <c r="D27" s="177">
        <v>0</v>
      </c>
      <c r="E27" s="136"/>
      <c r="F27" s="183" t="s">
        <v>134</v>
      </c>
      <c r="G27" s="176">
        <v>0</v>
      </c>
      <c r="H27" s="177">
        <v>0</v>
      </c>
      <c r="I27" s="136"/>
      <c r="J27" s="183" t="s">
        <v>134</v>
      </c>
      <c r="K27" s="176">
        <v>0</v>
      </c>
      <c r="L27" s="177">
        <v>0</v>
      </c>
      <c r="M27" s="137"/>
      <c r="N27" s="138">
        <f>SUM(C27+G27+K27)</f>
        <v>0</v>
      </c>
      <c r="O27" s="139">
        <f t="shared" si="1"/>
        <v>0</v>
      </c>
    </row>
    <row r="28" spans="1:15" s="140" customFormat="1" ht="63" customHeight="1">
      <c r="A28" s="267" t="s">
        <v>213</v>
      </c>
      <c r="B28" s="183" t="s">
        <v>653</v>
      </c>
      <c r="C28" s="176">
        <v>0.33333333333333331</v>
      </c>
      <c r="D28" s="177">
        <v>0</v>
      </c>
      <c r="E28" s="136"/>
      <c r="F28" s="183" t="s">
        <v>174</v>
      </c>
      <c r="G28" s="176">
        <v>0.33333333333333331</v>
      </c>
      <c r="H28" s="177">
        <v>0</v>
      </c>
      <c r="I28" s="136"/>
      <c r="J28" s="183" t="s">
        <v>174</v>
      </c>
      <c r="K28" s="176">
        <v>0.33333333333333331</v>
      </c>
      <c r="L28" s="177">
        <v>0</v>
      </c>
      <c r="M28" s="137"/>
      <c r="N28" s="138">
        <f>SUM(C28+G28+K28)</f>
        <v>1</v>
      </c>
      <c r="O28" s="139">
        <f t="shared" si="1"/>
        <v>0</v>
      </c>
    </row>
    <row r="29" spans="1:15" s="140" customFormat="1" ht="63" customHeight="1">
      <c r="A29" s="267" t="s">
        <v>214</v>
      </c>
      <c r="B29" s="183" t="s">
        <v>215</v>
      </c>
      <c r="C29" s="176">
        <v>0.33333333333333331</v>
      </c>
      <c r="D29" s="177">
        <v>0</v>
      </c>
      <c r="E29" s="136"/>
      <c r="F29" s="183" t="s">
        <v>174</v>
      </c>
      <c r="G29" s="176">
        <v>0.33333333333333331</v>
      </c>
      <c r="H29" s="177">
        <v>0</v>
      </c>
      <c r="I29" s="136"/>
      <c r="J29" s="183" t="s">
        <v>174</v>
      </c>
      <c r="K29" s="176">
        <v>0.33333333333333331</v>
      </c>
      <c r="L29" s="177">
        <v>0</v>
      </c>
      <c r="M29" s="137"/>
      <c r="N29" s="138">
        <f>SUM(C29+G29+K29)</f>
        <v>1</v>
      </c>
      <c r="O29" s="139">
        <f t="shared" si="1"/>
        <v>0</v>
      </c>
    </row>
    <row r="30" spans="1:15" s="140" customFormat="1" ht="63" customHeight="1">
      <c r="A30" s="267" t="s">
        <v>216</v>
      </c>
      <c r="B30" s="183" t="s">
        <v>134</v>
      </c>
      <c r="C30" s="176">
        <v>0</v>
      </c>
      <c r="D30" s="177">
        <v>0</v>
      </c>
      <c r="E30" s="136"/>
      <c r="F30" s="183" t="s">
        <v>134</v>
      </c>
      <c r="G30" s="176">
        <v>0</v>
      </c>
      <c r="H30" s="177">
        <v>0</v>
      </c>
      <c r="I30" s="136"/>
      <c r="J30" s="521" t="s">
        <v>134</v>
      </c>
      <c r="K30" s="176">
        <v>0</v>
      </c>
      <c r="L30" s="177">
        <v>0</v>
      </c>
      <c r="M30" s="137"/>
      <c r="N30" s="138">
        <f t="shared" si="0"/>
        <v>0</v>
      </c>
      <c r="O30" s="139">
        <f t="shared" si="1"/>
        <v>0</v>
      </c>
    </row>
    <row r="31" spans="1:15" s="140" customFormat="1" ht="63" customHeight="1">
      <c r="A31" s="267" t="s">
        <v>217</v>
      </c>
      <c r="B31" s="183" t="s">
        <v>633</v>
      </c>
      <c r="C31" s="176">
        <v>0.33333333333333331</v>
      </c>
      <c r="D31" s="177">
        <v>0</v>
      </c>
      <c r="E31" s="136"/>
      <c r="F31" s="183" t="s">
        <v>174</v>
      </c>
      <c r="G31" s="176">
        <v>0.33333333333333331</v>
      </c>
      <c r="H31" s="177">
        <v>0</v>
      </c>
      <c r="I31" s="136"/>
      <c r="J31" s="183" t="s">
        <v>174</v>
      </c>
      <c r="K31" s="176">
        <v>0.33333333333333331</v>
      </c>
      <c r="L31" s="177">
        <v>0</v>
      </c>
      <c r="M31" s="137"/>
      <c r="N31" s="138">
        <f t="shared" si="0"/>
        <v>1</v>
      </c>
      <c r="O31" s="139">
        <f t="shared" si="1"/>
        <v>0</v>
      </c>
    </row>
    <row r="32" spans="1:15" s="140" customFormat="1" ht="63" customHeight="1">
      <c r="A32" s="267" t="s">
        <v>218</v>
      </c>
      <c r="B32" s="183" t="s">
        <v>134</v>
      </c>
      <c r="C32" s="291">
        <v>0</v>
      </c>
      <c r="D32" s="177">
        <v>0</v>
      </c>
      <c r="E32" s="136">
        <v>1</v>
      </c>
      <c r="F32" s="183" t="s">
        <v>134</v>
      </c>
      <c r="G32" s="176">
        <v>0</v>
      </c>
      <c r="H32" s="177">
        <v>0</v>
      </c>
      <c r="I32" s="136"/>
      <c r="J32" s="183" t="s">
        <v>134</v>
      </c>
      <c r="K32" s="176">
        <v>0</v>
      </c>
      <c r="L32" s="177">
        <v>0</v>
      </c>
      <c r="M32" s="137"/>
      <c r="N32" s="138">
        <f t="shared" si="0"/>
        <v>0</v>
      </c>
      <c r="O32" s="139">
        <f t="shared" si="1"/>
        <v>0</v>
      </c>
    </row>
    <row r="33" spans="1:15" s="140" customFormat="1" ht="63" customHeight="1">
      <c r="A33" s="267" t="s">
        <v>219</v>
      </c>
      <c r="B33" s="183" t="s">
        <v>662</v>
      </c>
      <c r="C33" s="176">
        <v>0.33333333333333331</v>
      </c>
      <c r="D33" s="177">
        <v>0</v>
      </c>
      <c r="E33" s="136"/>
      <c r="F33" s="183" t="s">
        <v>174</v>
      </c>
      <c r="G33" s="176">
        <v>0.33333333333333331</v>
      </c>
      <c r="H33" s="177">
        <v>0</v>
      </c>
      <c r="I33" s="136"/>
      <c r="J33" s="183" t="s">
        <v>174</v>
      </c>
      <c r="K33" s="176">
        <v>0.33333333333333331</v>
      </c>
      <c r="L33" s="177">
        <v>0</v>
      </c>
      <c r="M33" s="137"/>
      <c r="N33" s="138">
        <f t="shared" si="0"/>
        <v>1</v>
      </c>
      <c r="O33" s="139">
        <f t="shared" si="1"/>
        <v>0</v>
      </c>
    </row>
    <row r="34" spans="1:15" s="140" customFormat="1" ht="63" customHeight="1">
      <c r="A34" s="267" t="s">
        <v>220</v>
      </c>
      <c r="B34" s="183" t="s">
        <v>134</v>
      </c>
      <c r="C34" s="176">
        <v>0</v>
      </c>
      <c r="D34" s="177">
        <v>0</v>
      </c>
      <c r="E34" s="136"/>
      <c r="F34" s="183" t="s">
        <v>134</v>
      </c>
      <c r="G34" s="176">
        <v>0</v>
      </c>
      <c r="H34" s="177">
        <v>0</v>
      </c>
      <c r="I34" s="136"/>
      <c r="J34" s="183" t="s">
        <v>134</v>
      </c>
      <c r="K34" s="176">
        <v>0</v>
      </c>
      <c r="L34" s="177">
        <v>0</v>
      </c>
      <c r="M34" s="137"/>
      <c r="N34" s="138">
        <f t="shared" si="0"/>
        <v>0</v>
      </c>
      <c r="O34" s="139">
        <f t="shared" si="1"/>
        <v>0</v>
      </c>
    </row>
    <row r="35" spans="1:15" s="140" customFormat="1" ht="63" customHeight="1">
      <c r="A35" s="267" t="s">
        <v>221</v>
      </c>
      <c r="B35" s="183" t="s">
        <v>134</v>
      </c>
      <c r="C35" s="176">
        <v>0</v>
      </c>
      <c r="D35" s="177">
        <v>0</v>
      </c>
      <c r="E35" s="136"/>
      <c r="F35" s="183" t="s">
        <v>134</v>
      </c>
      <c r="G35" s="176">
        <v>0</v>
      </c>
      <c r="H35" s="177">
        <v>0</v>
      </c>
      <c r="I35" s="136"/>
      <c r="J35" s="183" t="s">
        <v>134</v>
      </c>
      <c r="K35" s="176">
        <v>0</v>
      </c>
      <c r="L35" s="177">
        <v>0</v>
      </c>
      <c r="M35" s="137"/>
      <c r="N35" s="138">
        <f>SUM(C35+G35+K35)</f>
        <v>0</v>
      </c>
      <c r="O35" s="139">
        <f t="shared" si="1"/>
        <v>0</v>
      </c>
    </row>
    <row r="36" spans="1:15" s="140" customFormat="1" ht="63" customHeight="1">
      <c r="A36" s="267" t="s">
        <v>222</v>
      </c>
      <c r="B36" s="183" t="s">
        <v>651</v>
      </c>
      <c r="C36" s="176">
        <v>0</v>
      </c>
      <c r="D36" s="177">
        <v>0</v>
      </c>
      <c r="E36" s="136"/>
      <c r="F36" s="183" t="s">
        <v>677</v>
      </c>
      <c r="G36" s="176">
        <v>3.125E-2</v>
      </c>
      <c r="H36" s="177">
        <v>1</v>
      </c>
      <c r="I36" s="136"/>
      <c r="J36" s="183" t="s">
        <v>134</v>
      </c>
      <c r="K36" s="176">
        <v>0</v>
      </c>
      <c r="L36" s="177">
        <v>0</v>
      </c>
      <c r="M36" s="137"/>
      <c r="N36" s="138">
        <f>SUM(C36+G36+K36)</f>
        <v>3.125E-2</v>
      </c>
      <c r="O36" s="139">
        <f>D36+H36+L36</f>
        <v>1</v>
      </c>
    </row>
    <row r="37" spans="1:15" s="140" customFormat="1" ht="63" customHeight="1">
      <c r="A37" s="267" t="s">
        <v>223</v>
      </c>
      <c r="B37" s="183" t="s">
        <v>663</v>
      </c>
      <c r="C37" s="176">
        <v>0.33333333333333331</v>
      </c>
      <c r="D37" s="177">
        <v>0</v>
      </c>
      <c r="E37" s="136"/>
      <c r="F37" s="183" t="s">
        <v>174</v>
      </c>
      <c r="G37" s="176">
        <v>0.33333333333333331</v>
      </c>
      <c r="H37" s="177">
        <v>0</v>
      </c>
      <c r="I37" s="136"/>
      <c r="J37" s="467" t="s">
        <v>174</v>
      </c>
      <c r="K37" s="176">
        <v>0.33333333333333331</v>
      </c>
      <c r="L37" s="177">
        <v>0</v>
      </c>
      <c r="M37" s="137"/>
      <c r="N37" s="138">
        <f t="shared" si="0"/>
        <v>1</v>
      </c>
      <c r="O37" s="139">
        <f t="shared" si="1"/>
        <v>0</v>
      </c>
    </row>
    <row r="38" spans="1:15" s="140" customFormat="1" ht="63" customHeight="1">
      <c r="A38" s="268" t="s">
        <v>224</v>
      </c>
      <c r="B38" s="183" t="s">
        <v>676</v>
      </c>
      <c r="C38" s="176">
        <v>6.9444444444444441E-3</v>
      </c>
      <c r="D38" s="177">
        <v>1</v>
      </c>
      <c r="E38" s="136">
        <v>1</v>
      </c>
      <c r="F38" s="183" t="s">
        <v>699</v>
      </c>
      <c r="G38" s="176">
        <v>2.4305555555555556E-2</v>
      </c>
      <c r="H38" s="177">
        <v>1</v>
      </c>
      <c r="I38" s="136"/>
      <c r="J38" s="183" t="s">
        <v>134</v>
      </c>
      <c r="K38" s="176">
        <v>0</v>
      </c>
      <c r="L38" s="177">
        <v>0</v>
      </c>
      <c r="M38" s="137">
        <v>0</v>
      </c>
      <c r="N38" s="138">
        <f t="shared" si="0"/>
        <v>3.125E-2</v>
      </c>
      <c r="O38" s="139">
        <f t="shared" si="1"/>
        <v>2</v>
      </c>
    </row>
    <row r="39" spans="1:15" s="140" customFormat="1" ht="63" customHeight="1">
      <c r="A39" s="268" t="s">
        <v>225</v>
      </c>
      <c r="B39" s="183" t="s">
        <v>134</v>
      </c>
      <c r="C39" s="176">
        <v>0</v>
      </c>
      <c r="D39" s="177">
        <v>0</v>
      </c>
      <c r="E39" s="136"/>
      <c r="F39" s="183" t="s">
        <v>134</v>
      </c>
      <c r="G39" s="176">
        <v>0</v>
      </c>
      <c r="H39" s="177">
        <v>0</v>
      </c>
      <c r="I39" s="136"/>
      <c r="J39" s="183" t="s">
        <v>134</v>
      </c>
      <c r="K39" s="176">
        <v>0</v>
      </c>
      <c r="L39" s="177">
        <v>0</v>
      </c>
      <c r="M39" s="137"/>
      <c r="N39" s="138">
        <f>SUM(C39+G39+K39)</f>
        <v>0</v>
      </c>
      <c r="O39" s="139">
        <f t="shared" si="1"/>
        <v>0</v>
      </c>
    </row>
    <row r="40" spans="1:15" s="140" customFormat="1" ht="63" customHeight="1">
      <c r="A40" s="267" t="s">
        <v>226</v>
      </c>
      <c r="B40" s="183" t="s">
        <v>134</v>
      </c>
      <c r="C40" s="292">
        <v>0</v>
      </c>
      <c r="D40" s="177">
        <v>0</v>
      </c>
      <c r="E40" s="136"/>
      <c r="F40" s="183" t="s">
        <v>134</v>
      </c>
      <c r="G40" s="176">
        <v>0</v>
      </c>
      <c r="H40" s="177">
        <v>0</v>
      </c>
      <c r="I40" s="136"/>
      <c r="J40" s="183" t="s">
        <v>134</v>
      </c>
      <c r="K40" s="176">
        <v>0</v>
      </c>
      <c r="L40" s="177">
        <v>0</v>
      </c>
      <c r="M40" s="137"/>
      <c r="N40" s="138">
        <f>SUM(C40+G40+K40)</f>
        <v>0</v>
      </c>
      <c r="O40" s="139">
        <f t="shared" si="1"/>
        <v>0</v>
      </c>
    </row>
    <row r="41" spans="1:15" s="140" customFormat="1" ht="63" customHeight="1">
      <c r="A41" s="268" t="s">
        <v>227</v>
      </c>
      <c r="B41" s="183" t="s">
        <v>228</v>
      </c>
      <c r="C41" s="176">
        <v>0.33333333333333331</v>
      </c>
      <c r="D41" s="177">
        <v>0</v>
      </c>
      <c r="E41" s="136"/>
      <c r="F41" s="183" t="s">
        <v>174</v>
      </c>
      <c r="G41" s="176">
        <v>0.33333333333333331</v>
      </c>
      <c r="H41" s="177">
        <v>0</v>
      </c>
      <c r="I41" s="136"/>
      <c r="J41" s="183" t="s">
        <v>174</v>
      </c>
      <c r="K41" s="176">
        <v>0.33333333333333331</v>
      </c>
      <c r="L41" s="177">
        <v>0</v>
      </c>
      <c r="M41" s="137"/>
      <c r="N41" s="141">
        <f>SUM(C41+G41+K41)</f>
        <v>1</v>
      </c>
      <c r="O41" s="142">
        <f t="shared" si="1"/>
        <v>0</v>
      </c>
    </row>
    <row r="42" spans="1:15" s="140" customFormat="1" ht="63" customHeight="1">
      <c r="A42" s="268" t="s">
        <v>604</v>
      </c>
      <c r="B42" s="183" t="s">
        <v>689</v>
      </c>
      <c r="C42" s="176">
        <v>4.5138888888888888E-2</v>
      </c>
      <c r="D42" s="177">
        <v>2</v>
      </c>
      <c r="E42" s="183"/>
      <c r="F42" s="183" t="s">
        <v>134</v>
      </c>
      <c r="G42" s="176">
        <v>0</v>
      </c>
      <c r="H42" s="177">
        <v>0</v>
      </c>
      <c r="I42" s="183"/>
      <c r="J42" s="521" t="s">
        <v>134</v>
      </c>
      <c r="K42" s="176">
        <v>0</v>
      </c>
      <c r="L42" s="177">
        <v>0</v>
      </c>
      <c r="M42" s="143"/>
      <c r="N42" s="138">
        <f t="shared" si="0"/>
        <v>4.5138888888888888E-2</v>
      </c>
      <c r="O42" s="142">
        <f t="shared" si="1"/>
        <v>2</v>
      </c>
    </row>
    <row r="43" spans="1:15" s="140" customFormat="1" ht="63" customHeight="1">
      <c r="A43" s="268" t="s">
        <v>594</v>
      </c>
      <c r="B43" s="183" t="s">
        <v>686</v>
      </c>
      <c r="C43" s="176">
        <v>0.13194444444444445</v>
      </c>
      <c r="D43" s="177">
        <v>1</v>
      </c>
      <c r="E43" s="183"/>
      <c r="F43" s="183" t="s">
        <v>134</v>
      </c>
      <c r="G43" s="176">
        <v>0</v>
      </c>
      <c r="H43" s="177">
        <v>0</v>
      </c>
      <c r="I43" s="183"/>
      <c r="J43" s="183" t="s">
        <v>134</v>
      </c>
      <c r="K43" s="176">
        <v>0</v>
      </c>
      <c r="L43" s="177">
        <v>0</v>
      </c>
      <c r="M43" s="143"/>
      <c r="N43" s="138">
        <f>SUM(C43+G43+K43)</f>
        <v>0.13194444444444445</v>
      </c>
      <c r="O43" s="142">
        <f t="shared" si="1"/>
        <v>1</v>
      </c>
    </row>
    <row r="44" spans="1:15" s="140" customFormat="1" ht="63" customHeight="1">
      <c r="A44" s="268" t="s">
        <v>619</v>
      </c>
      <c r="B44" s="183" t="s">
        <v>134</v>
      </c>
      <c r="C44" s="176">
        <v>0</v>
      </c>
      <c r="D44" s="177">
        <v>0</v>
      </c>
      <c r="E44" s="183"/>
      <c r="F44" s="183" t="s">
        <v>134</v>
      </c>
      <c r="G44" s="176">
        <v>0</v>
      </c>
      <c r="H44" s="177">
        <v>0</v>
      </c>
      <c r="I44" s="183"/>
      <c r="J44" s="183" t="s">
        <v>134</v>
      </c>
      <c r="K44" s="176">
        <v>0</v>
      </c>
      <c r="L44" s="177">
        <v>0</v>
      </c>
      <c r="M44" s="143"/>
      <c r="N44" s="138">
        <f t="shared" si="0"/>
        <v>0</v>
      </c>
      <c r="O44" s="142">
        <f t="shared" si="1"/>
        <v>0</v>
      </c>
    </row>
    <row r="45" spans="1:15" s="140" customFormat="1" ht="63" customHeight="1">
      <c r="A45" s="268" t="s">
        <v>611</v>
      </c>
      <c r="B45" s="183" t="s">
        <v>134</v>
      </c>
      <c r="C45" s="176">
        <v>0</v>
      </c>
      <c r="D45" s="177">
        <v>0</v>
      </c>
      <c r="E45" s="183"/>
      <c r="F45" s="183" t="s">
        <v>698</v>
      </c>
      <c r="G45" s="176">
        <v>2.0833333333333332E-2</v>
      </c>
      <c r="H45" s="177">
        <v>1</v>
      </c>
      <c r="I45" s="183"/>
      <c r="J45" s="183" t="s">
        <v>134</v>
      </c>
      <c r="K45" s="176">
        <v>0</v>
      </c>
      <c r="L45" s="177">
        <v>0</v>
      </c>
      <c r="M45" s="143"/>
      <c r="N45" s="138">
        <f t="shared" si="0"/>
        <v>2.0833333333333332E-2</v>
      </c>
      <c r="O45" s="142">
        <f t="shared" si="1"/>
        <v>1</v>
      </c>
    </row>
    <row r="46" spans="1:15" s="140" customFormat="1" ht="63" customHeight="1">
      <c r="A46" s="268" t="s">
        <v>608</v>
      </c>
      <c r="B46" s="183" t="s">
        <v>134</v>
      </c>
      <c r="C46" s="176">
        <v>0</v>
      </c>
      <c r="D46" s="177">
        <v>0</v>
      </c>
      <c r="E46" s="183"/>
      <c r="F46" s="183" t="s">
        <v>134</v>
      </c>
      <c r="G46" s="176">
        <v>0</v>
      </c>
      <c r="H46" s="177">
        <v>0</v>
      </c>
      <c r="I46" s="183"/>
      <c r="J46" s="183" t="s">
        <v>134</v>
      </c>
      <c r="K46" s="176">
        <v>0</v>
      </c>
      <c r="L46" s="177">
        <v>0</v>
      </c>
      <c r="M46" s="143"/>
      <c r="N46" s="138">
        <f t="shared" si="0"/>
        <v>0</v>
      </c>
      <c r="O46" s="142">
        <f t="shared" si="1"/>
        <v>0</v>
      </c>
    </row>
    <row r="47" spans="1:15" s="140" customFormat="1" ht="63" customHeight="1">
      <c r="A47" s="268" t="s">
        <v>617</v>
      </c>
      <c r="B47" s="183" t="s">
        <v>659</v>
      </c>
      <c r="C47" s="176">
        <v>0.33333333333333331</v>
      </c>
      <c r="D47" s="177">
        <v>0</v>
      </c>
      <c r="E47" s="183"/>
      <c r="F47" s="521" t="s">
        <v>174</v>
      </c>
      <c r="G47" s="176">
        <v>0.33333333333333331</v>
      </c>
      <c r="H47" s="177">
        <v>0</v>
      </c>
      <c r="I47" s="183"/>
      <c r="J47" s="183" t="s">
        <v>174</v>
      </c>
      <c r="K47" s="176">
        <v>0.33333333333333331</v>
      </c>
      <c r="L47" s="177">
        <v>0</v>
      </c>
      <c r="M47" s="143"/>
      <c r="N47" s="138">
        <f t="shared" si="0"/>
        <v>1</v>
      </c>
      <c r="O47" s="142">
        <f t="shared" si="1"/>
        <v>0</v>
      </c>
    </row>
    <row r="48" spans="1:15" s="140" customFormat="1" ht="63" customHeight="1">
      <c r="A48" s="268" t="s">
        <v>623</v>
      </c>
      <c r="B48" s="183" t="s">
        <v>236</v>
      </c>
      <c r="C48" s="176">
        <v>0.33333333333333331</v>
      </c>
      <c r="D48" s="177">
        <v>4.5138888888888888E-2</v>
      </c>
      <c r="E48" s="183"/>
      <c r="F48" s="183" t="s">
        <v>174</v>
      </c>
      <c r="G48" s="176">
        <v>0.33333333333333331</v>
      </c>
      <c r="H48" s="177">
        <v>0</v>
      </c>
      <c r="I48" s="183"/>
      <c r="J48" s="183" t="s">
        <v>174</v>
      </c>
      <c r="K48" s="176">
        <v>0.33333333333333331</v>
      </c>
      <c r="L48" s="177">
        <v>0</v>
      </c>
      <c r="M48" s="143"/>
      <c r="N48" s="138">
        <f t="shared" si="0"/>
        <v>1</v>
      </c>
      <c r="O48" s="142">
        <f t="shared" si="1"/>
        <v>4.5138888888888888E-2</v>
      </c>
    </row>
    <row r="49" spans="1:15" s="140" customFormat="1" ht="63" customHeight="1">
      <c r="A49" s="268" t="s">
        <v>613</v>
      </c>
      <c r="B49" s="183" t="s">
        <v>661</v>
      </c>
      <c r="C49" s="176">
        <v>0.33333333333333331</v>
      </c>
      <c r="D49" s="177">
        <v>0</v>
      </c>
      <c r="E49" s="183"/>
      <c r="F49" s="183" t="s">
        <v>174</v>
      </c>
      <c r="G49" s="176">
        <v>0.33333333333333331</v>
      </c>
      <c r="H49" s="177">
        <v>0</v>
      </c>
      <c r="I49" s="183"/>
      <c r="J49" s="183" t="s">
        <v>174</v>
      </c>
      <c r="K49" s="176">
        <v>0.33333333333333331</v>
      </c>
      <c r="L49" s="177">
        <v>0</v>
      </c>
      <c r="M49" s="143"/>
      <c r="N49" s="138">
        <f t="shared" si="0"/>
        <v>1</v>
      </c>
      <c r="O49" s="142">
        <f t="shared" si="1"/>
        <v>0</v>
      </c>
    </row>
    <row r="50" spans="1:15" s="140" customFormat="1" ht="63" customHeight="1">
      <c r="A50" s="268" t="s">
        <v>600</v>
      </c>
      <c r="B50" s="183" t="s">
        <v>134</v>
      </c>
      <c r="C50" s="176">
        <v>0</v>
      </c>
      <c r="D50" s="177">
        <v>0</v>
      </c>
      <c r="E50" s="183"/>
      <c r="F50" s="183" t="s">
        <v>134</v>
      </c>
      <c r="G50" s="176">
        <v>0</v>
      </c>
      <c r="H50" s="177">
        <v>0</v>
      </c>
      <c r="I50" s="183"/>
      <c r="J50" s="183" t="s">
        <v>134</v>
      </c>
      <c r="K50" s="176">
        <v>0</v>
      </c>
      <c r="L50" s="177">
        <v>0</v>
      </c>
      <c r="M50" s="143"/>
      <c r="N50" s="138">
        <f t="shared" si="0"/>
        <v>0</v>
      </c>
      <c r="O50" s="142">
        <f t="shared" si="1"/>
        <v>0</v>
      </c>
    </row>
    <row r="51" spans="1:15" s="140" customFormat="1" ht="63" customHeight="1">
      <c r="A51" s="268" t="s">
        <v>596</v>
      </c>
      <c r="B51" s="183" t="s">
        <v>240</v>
      </c>
      <c r="C51" s="176">
        <v>0.33333333333333331</v>
      </c>
      <c r="D51" s="177">
        <v>0</v>
      </c>
      <c r="E51" s="183"/>
      <c r="F51" s="183" t="s">
        <v>174</v>
      </c>
      <c r="G51" s="176">
        <v>0.33333333333333331</v>
      </c>
      <c r="H51" s="177">
        <v>0</v>
      </c>
      <c r="I51" s="183"/>
      <c r="J51" s="521" t="s">
        <v>174</v>
      </c>
      <c r="K51" s="176">
        <v>0.33333333333333331</v>
      </c>
      <c r="L51" s="177">
        <v>0</v>
      </c>
      <c r="M51" s="143"/>
      <c r="N51" s="138">
        <f t="shared" si="0"/>
        <v>1</v>
      </c>
      <c r="O51" s="142">
        <f t="shared" si="1"/>
        <v>0</v>
      </c>
    </row>
    <row r="52" spans="1:15" s="140" customFormat="1" ht="63" customHeight="1">
      <c r="A52" s="268" t="s">
        <v>588</v>
      </c>
      <c r="B52" s="183" t="s">
        <v>134</v>
      </c>
      <c r="C52" s="176">
        <v>0</v>
      </c>
      <c r="D52" s="177">
        <v>0</v>
      </c>
      <c r="E52" s="183">
        <v>1</v>
      </c>
      <c r="F52" s="183" t="s">
        <v>134</v>
      </c>
      <c r="G52" s="176">
        <v>0</v>
      </c>
      <c r="H52" s="177">
        <v>0</v>
      </c>
      <c r="I52" s="183"/>
      <c r="J52" s="183" t="s">
        <v>134</v>
      </c>
      <c r="K52" s="176">
        <v>0</v>
      </c>
      <c r="L52" s="177">
        <v>0</v>
      </c>
      <c r="M52" s="143"/>
      <c r="N52" s="138">
        <f t="shared" si="0"/>
        <v>0</v>
      </c>
      <c r="O52" s="142">
        <f t="shared" si="1"/>
        <v>0</v>
      </c>
    </row>
    <row r="53" spans="1:15" s="140" customFormat="1" ht="63" customHeight="1">
      <c r="A53" s="268" t="s">
        <v>598</v>
      </c>
      <c r="B53" s="183" t="s">
        <v>134</v>
      </c>
      <c r="C53" s="176">
        <v>0</v>
      </c>
      <c r="D53" s="177">
        <v>0</v>
      </c>
      <c r="E53" s="183"/>
      <c r="F53" s="183" t="s">
        <v>134</v>
      </c>
      <c r="G53" s="176">
        <v>0</v>
      </c>
      <c r="H53" s="177">
        <v>0</v>
      </c>
      <c r="I53" s="183"/>
      <c r="J53" s="183" t="s">
        <v>682</v>
      </c>
      <c r="K53" s="176">
        <v>2.0833333333333332E-2</v>
      </c>
      <c r="L53" s="177">
        <v>1</v>
      </c>
      <c r="M53" s="143"/>
      <c r="N53" s="138">
        <f t="shared" si="0"/>
        <v>2.0833333333333332E-2</v>
      </c>
      <c r="O53" s="142">
        <f t="shared" si="1"/>
        <v>1</v>
      </c>
    </row>
    <row r="54" spans="1:15" s="140" customFormat="1" ht="63" customHeight="1">
      <c r="A54" s="268" t="s">
        <v>615</v>
      </c>
      <c r="B54" s="183" t="s">
        <v>134</v>
      </c>
      <c r="C54" s="176">
        <v>0</v>
      </c>
      <c r="D54" s="177">
        <v>0</v>
      </c>
      <c r="E54" s="183"/>
      <c r="F54" s="183" t="s">
        <v>134</v>
      </c>
      <c r="G54" s="176">
        <v>0</v>
      </c>
      <c r="H54" s="177">
        <v>0</v>
      </c>
      <c r="I54" s="183"/>
      <c r="J54" s="183" t="s">
        <v>134</v>
      </c>
      <c r="K54" s="176">
        <v>0</v>
      </c>
      <c r="L54" s="177">
        <v>0</v>
      </c>
      <c r="M54" s="143"/>
      <c r="N54" s="138">
        <f t="shared" si="0"/>
        <v>0</v>
      </c>
      <c r="O54" s="142">
        <f t="shared" si="1"/>
        <v>0</v>
      </c>
    </row>
    <row r="55" spans="1:15" s="140" customFormat="1" ht="63" customHeight="1">
      <c r="A55" s="268" t="s">
        <v>610</v>
      </c>
      <c r="B55" s="183" t="s">
        <v>134</v>
      </c>
      <c r="C55" s="176">
        <v>0</v>
      </c>
      <c r="D55" s="177">
        <v>0</v>
      </c>
      <c r="E55" s="183"/>
      <c r="F55" s="183" t="s">
        <v>134</v>
      </c>
      <c r="G55" s="176">
        <v>0</v>
      </c>
      <c r="H55" s="177">
        <v>0</v>
      </c>
      <c r="I55" s="183"/>
      <c r="J55" s="183" t="s">
        <v>677</v>
      </c>
      <c r="K55" s="176">
        <v>1.0416666666666666E-2</v>
      </c>
      <c r="L55" s="177">
        <v>1</v>
      </c>
      <c r="M55" s="143"/>
      <c r="N55" s="138">
        <f t="shared" si="0"/>
        <v>1.0416666666666666E-2</v>
      </c>
      <c r="O55" s="142">
        <f t="shared" si="1"/>
        <v>1</v>
      </c>
    </row>
    <row r="56" spans="1:15" s="140" customFormat="1" ht="63" customHeight="1">
      <c r="A56" s="268" t="s">
        <v>605</v>
      </c>
      <c r="B56" s="183" t="s">
        <v>134</v>
      </c>
      <c r="C56" s="176">
        <v>0</v>
      </c>
      <c r="D56" s="177">
        <v>0</v>
      </c>
      <c r="E56" s="183"/>
      <c r="F56" s="183" t="s">
        <v>134</v>
      </c>
      <c r="G56" s="176">
        <v>0</v>
      </c>
      <c r="H56" s="177">
        <v>0</v>
      </c>
      <c r="I56" s="183"/>
      <c r="J56" s="483" t="s">
        <v>134</v>
      </c>
      <c r="K56" s="176">
        <v>0</v>
      </c>
      <c r="L56" s="177">
        <v>0</v>
      </c>
      <c r="M56" s="143"/>
      <c r="N56" s="138">
        <f t="shared" ref="N56:N66" si="3">SUM(C56+G56+K56)</f>
        <v>0</v>
      </c>
      <c r="O56" s="142">
        <f t="shared" si="1"/>
        <v>0</v>
      </c>
    </row>
    <row r="57" spans="1:15" s="140" customFormat="1" ht="63" customHeight="1">
      <c r="A57" s="268" t="s">
        <v>592</v>
      </c>
      <c r="B57" s="183" t="s">
        <v>134</v>
      </c>
      <c r="C57" s="176">
        <v>0</v>
      </c>
      <c r="D57" s="177">
        <v>0</v>
      </c>
      <c r="E57" s="183"/>
      <c r="F57" s="183" t="s">
        <v>134</v>
      </c>
      <c r="G57" s="176">
        <v>0</v>
      </c>
      <c r="H57" s="177">
        <v>0</v>
      </c>
      <c r="I57" s="183"/>
      <c r="J57" s="183" t="s">
        <v>134</v>
      </c>
      <c r="K57" s="176">
        <v>0</v>
      </c>
      <c r="L57" s="177">
        <v>0</v>
      </c>
      <c r="M57" s="143"/>
      <c r="N57" s="138">
        <f t="shared" si="3"/>
        <v>0</v>
      </c>
      <c r="O57" s="142">
        <f t="shared" si="1"/>
        <v>0</v>
      </c>
    </row>
    <row r="58" spans="1:15" s="140" customFormat="1" ht="63" customHeight="1">
      <c r="A58" s="268" t="s">
        <v>620</v>
      </c>
      <c r="B58" s="183" t="s">
        <v>134</v>
      </c>
      <c r="C58" s="176">
        <v>0</v>
      </c>
      <c r="D58" s="177">
        <v>0</v>
      </c>
      <c r="E58" s="136"/>
      <c r="F58" s="183" t="s">
        <v>134</v>
      </c>
      <c r="G58" s="176">
        <v>0</v>
      </c>
      <c r="H58" s="177">
        <v>0</v>
      </c>
      <c r="I58" s="136"/>
      <c r="J58" s="183" t="s">
        <v>134</v>
      </c>
      <c r="K58" s="176">
        <v>0</v>
      </c>
      <c r="L58" s="177">
        <v>0</v>
      </c>
      <c r="M58" s="137"/>
      <c r="N58" s="138">
        <f t="shared" si="3"/>
        <v>0</v>
      </c>
      <c r="O58" s="142">
        <f t="shared" si="1"/>
        <v>0</v>
      </c>
    </row>
    <row r="59" spans="1:15" s="140" customFormat="1" ht="63" customHeight="1">
      <c r="A59" s="268" t="s">
        <v>606</v>
      </c>
      <c r="B59" s="183" t="s">
        <v>134</v>
      </c>
      <c r="C59" s="176">
        <v>0</v>
      </c>
      <c r="D59" s="177">
        <v>0</v>
      </c>
      <c r="E59" s="136"/>
      <c r="F59" s="183" t="s">
        <v>134</v>
      </c>
      <c r="G59" s="176">
        <v>0</v>
      </c>
      <c r="H59" s="177">
        <v>0</v>
      </c>
      <c r="I59" s="136"/>
      <c r="J59" s="183" t="s">
        <v>134</v>
      </c>
      <c r="K59" s="176">
        <v>0</v>
      </c>
      <c r="L59" s="177">
        <v>0</v>
      </c>
      <c r="M59" s="137"/>
      <c r="N59" s="138">
        <f t="shared" si="3"/>
        <v>0</v>
      </c>
      <c r="O59" s="142">
        <f t="shared" si="1"/>
        <v>0</v>
      </c>
    </row>
    <row r="60" spans="1:15" s="140" customFormat="1" ht="63" customHeight="1">
      <c r="A60" s="268" t="s">
        <v>601</v>
      </c>
      <c r="B60" s="183" t="s">
        <v>134</v>
      </c>
      <c r="C60" s="176">
        <v>0</v>
      </c>
      <c r="D60" s="177">
        <v>0</v>
      </c>
      <c r="E60" s="136"/>
      <c r="F60" s="183" t="s">
        <v>134</v>
      </c>
      <c r="G60" s="176">
        <v>0</v>
      </c>
      <c r="H60" s="177">
        <v>0</v>
      </c>
      <c r="I60" s="136"/>
      <c r="J60" s="183" t="s">
        <v>134</v>
      </c>
      <c r="K60" s="176">
        <v>0</v>
      </c>
      <c r="L60" s="177">
        <v>0</v>
      </c>
      <c r="M60" s="137"/>
      <c r="N60" s="138">
        <f t="shared" si="3"/>
        <v>0</v>
      </c>
      <c r="O60" s="142">
        <f t="shared" si="1"/>
        <v>0</v>
      </c>
    </row>
    <row r="61" spans="1:15" s="140" customFormat="1" ht="63" customHeight="1">
      <c r="A61" s="268" t="s">
        <v>622</v>
      </c>
      <c r="B61" s="183" t="s">
        <v>643</v>
      </c>
      <c r="C61" s="176">
        <v>0.33333333333333331</v>
      </c>
      <c r="D61" s="177">
        <v>0</v>
      </c>
      <c r="E61" s="136"/>
      <c r="F61" s="651" t="s">
        <v>174</v>
      </c>
      <c r="G61" s="216">
        <v>0.33333333333333331</v>
      </c>
      <c r="H61" s="217">
        <v>0</v>
      </c>
      <c r="I61" s="136"/>
      <c r="J61" s="651" t="s">
        <v>174</v>
      </c>
      <c r="K61" s="216">
        <v>0.33333333333333331</v>
      </c>
      <c r="L61" s="217">
        <v>0</v>
      </c>
      <c r="M61" s="137"/>
      <c r="N61" s="141">
        <f t="shared" si="3"/>
        <v>1</v>
      </c>
      <c r="O61" s="139">
        <f t="shared" si="1"/>
        <v>0</v>
      </c>
    </row>
    <row r="62" spans="1:15" s="140" customFormat="1" ht="63" customHeight="1">
      <c r="A62" s="268" t="s">
        <v>634</v>
      </c>
      <c r="B62" s="183" t="s">
        <v>134</v>
      </c>
      <c r="C62" s="216">
        <v>0</v>
      </c>
      <c r="D62" s="177">
        <v>0</v>
      </c>
      <c r="E62" s="136"/>
      <c r="F62" s="651" t="s">
        <v>134</v>
      </c>
      <c r="G62" s="216">
        <v>0</v>
      </c>
      <c r="H62" s="217">
        <v>0</v>
      </c>
      <c r="I62" s="183"/>
      <c r="J62" s="651" t="s">
        <v>134</v>
      </c>
      <c r="K62" s="216">
        <v>0</v>
      </c>
      <c r="L62" s="217">
        <v>0</v>
      </c>
      <c r="M62" s="143"/>
      <c r="N62" s="141">
        <f t="shared" si="3"/>
        <v>0</v>
      </c>
      <c r="O62" s="139">
        <f t="shared" si="1"/>
        <v>0</v>
      </c>
    </row>
    <row r="63" spans="1:15" s="140" customFormat="1" ht="63" customHeight="1">
      <c r="A63" s="268" t="s">
        <v>639</v>
      </c>
      <c r="B63" s="183" t="s">
        <v>660</v>
      </c>
      <c r="C63" s="216">
        <v>0.33333333333333331</v>
      </c>
      <c r="D63" s="177">
        <v>0</v>
      </c>
      <c r="E63" s="136"/>
      <c r="F63" s="651" t="s">
        <v>174</v>
      </c>
      <c r="G63" s="216">
        <v>0.33333333333333331</v>
      </c>
      <c r="H63" s="217">
        <v>0</v>
      </c>
      <c r="I63" s="183"/>
      <c r="J63" s="651" t="s">
        <v>174</v>
      </c>
      <c r="K63" s="216">
        <v>0.33333333333333331</v>
      </c>
      <c r="L63" s="217">
        <v>0</v>
      </c>
      <c r="M63" s="143"/>
      <c r="N63" s="141">
        <f t="shared" si="3"/>
        <v>1</v>
      </c>
      <c r="O63" s="139">
        <f t="shared" si="1"/>
        <v>0</v>
      </c>
    </row>
    <row r="64" spans="1:15" s="140" customFormat="1" ht="63" customHeight="1">
      <c r="A64" s="268" t="s">
        <v>640</v>
      </c>
      <c r="B64" s="183" t="s">
        <v>134</v>
      </c>
      <c r="C64" s="216">
        <v>0</v>
      </c>
      <c r="D64" s="177">
        <v>0</v>
      </c>
      <c r="E64" s="136"/>
      <c r="F64" s="651" t="s">
        <v>134</v>
      </c>
      <c r="G64" s="216">
        <v>0</v>
      </c>
      <c r="H64" s="217">
        <v>0</v>
      </c>
      <c r="I64" s="183"/>
      <c r="J64" s="651" t="s">
        <v>714</v>
      </c>
      <c r="K64" s="216">
        <v>1.0416666666666666E-2</v>
      </c>
      <c r="L64" s="217">
        <v>1</v>
      </c>
      <c r="M64" s="143"/>
      <c r="N64" s="141">
        <f t="shared" si="3"/>
        <v>1.0416666666666666E-2</v>
      </c>
      <c r="O64" s="139">
        <f t="shared" si="1"/>
        <v>1</v>
      </c>
    </row>
    <row r="65" spans="1:15" s="140" customFormat="1" ht="63" customHeight="1">
      <c r="A65" s="268" t="s">
        <v>641</v>
      </c>
      <c r="B65" s="183" t="s">
        <v>677</v>
      </c>
      <c r="C65" s="216">
        <v>2.4305555555555556E-2</v>
      </c>
      <c r="D65" s="177">
        <v>1</v>
      </c>
      <c r="E65" s="136"/>
      <c r="F65" s="651" t="s">
        <v>134</v>
      </c>
      <c r="G65" s="216">
        <v>0</v>
      </c>
      <c r="H65" s="217">
        <v>0</v>
      </c>
      <c r="I65" s="183"/>
      <c r="J65" s="651" t="s">
        <v>134</v>
      </c>
      <c r="K65" s="216">
        <v>0</v>
      </c>
      <c r="L65" s="217">
        <v>0</v>
      </c>
      <c r="M65" s="143"/>
      <c r="N65" s="141">
        <f t="shared" si="3"/>
        <v>2.4305555555555556E-2</v>
      </c>
      <c r="O65" s="139">
        <f t="shared" si="1"/>
        <v>1</v>
      </c>
    </row>
    <row r="66" spans="1:15" s="140" customFormat="1" ht="63" customHeight="1">
      <c r="A66" s="268" t="s">
        <v>635</v>
      </c>
      <c r="B66" s="183" t="s">
        <v>134</v>
      </c>
      <c r="C66" s="216">
        <v>0</v>
      </c>
      <c r="D66" s="177">
        <v>0</v>
      </c>
      <c r="E66" s="136"/>
      <c r="F66" s="651" t="s">
        <v>134</v>
      </c>
      <c r="G66" s="216">
        <v>0</v>
      </c>
      <c r="H66" s="217">
        <v>0</v>
      </c>
      <c r="I66" s="183"/>
      <c r="J66" s="651" t="s">
        <v>134</v>
      </c>
      <c r="K66" s="216">
        <v>0</v>
      </c>
      <c r="L66" s="217">
        <v>0</v>
      </c>
      <c r="M66" s="143"/>
      <c r="N66" s="141">
        <f t="shared" si="3"/>
        <v>0</v>
      </c>
      <c r="O66" s="139">
        <f t="shared" si="1"/>
        <v>0</v>
      </c>
    </row>
    <row r="67" spans="1:15" s="140" customFormat="1" ht="63" customHeight="1">
      <c r="A67" s="268" t="s">
        <v>636</v>
      </c>
      <c r="B67" s="183" t="s">
        <v>134</v>
      </c>
      <c r="C67" s="216">
        <v>0</v>
      </c>
      <c r="D67" s="177">
        <v>0</v>
      </c>
      <c r="E67" s="136"/>
      <c r="F67" s="651" t="s">
        <v>134</v>
      </c>
      <c r="G67" s="216">
        <v>0</v>
      </c>
      <c r="H67" s="217">
        <v>0</v>
      </c>
      <c r="I67" s="136"/>
      <c r="J67" s="651" t="s">
        <v>134</v>
      </c>
      <c r="K67" s="216">
        <v>0</v>
      </c>
      <c r="L67" s="217">
        <v>0</v>
      </c>
      <c r="M67" s="137"/>
      <c r="N67" s="141">
        <f>SUM(C67+G67+K67)</f>
        <v>0</v>
      </c>
      <c r="O67" s="139">
        <f t="shared" si="1"/>
        <v>0</v>
      </c>
    </row>
    <row r="68" spans="1:15" s="140" customFormat="1" ht="63" customHeight="1">
      <c r="A68" s="268" t="s">
        <v>637</v>
      </c>
      <c r="B68" s="183" t="s">
        <v>134</v>
      </c>
      <c r="C68" s="216">
        <v>0</v>
      </c>
      <c r="D68" s="177">
        <v>0</v>
      </c>
      <c r="E68" s="136"/>
      <c r="F68" s="651" t="s">
        <v>134</v>
      </c>
      <c r="G68" s="216">
        <v>0</v>
      </c>
      <c r="H68" s="217">
        <v>0</v>
      </c>
      <c r="I68" s="136"/>
      <c r="J68" s="651" t="s">
        <v>134</v>
      </c>
      <c r="K68" s="216">
        <v>0</v>
      </c>
      <c r="L68" s="217">
        <v>0</v>
      </c>
      <c r="M68" s="137"/>
      <c r="N68" s="141">
        <f>SUM(C68+G68+K68)</f>
        <v>0</v>
      </c>
      <c r="O68" s="139">
        <f t="shared" si="1"/>
        <v>0</v>
      </c>
    </row>
    <row r="69" spans="1:15" s="140" customFormat="1" ht="63" customHeight="1">
      <c r="A69" s="268" t="s">
        <v>642</v>
      </c>
      <c r="B69" s="183" t="s">
        <v>134</v>
      </c>
      <c r="C69" s="216">
        <v>0</v>
      </c>
      <c r="D69" s="177">
        <v>0</v>
      </c>
      <c r="E69" s="136"/>
      <c r="F69" s="651" t="s">
        <v>134</v>
      </c>
      <c r="G69" s="216">
        <v>0</v>
      </c>
      <c r="H69" s="217">
        <v>0</v>
      </c>
      <c r="I69" s="136"/>
      <c r="J69" s="651" t="s">
        <v>714</v>
      </c>
      <c r="K69" s="216">
        <v>6.9444444444444441E-3</v>
      </c>
      <c r="L69" s="217">
        <v>1</v>
      </c>
      <c r="M69" s="137"/>
      <c r="N69" s="141">
        <f>SUM(C69+G69+K69)</f>
        <v>6.9444444444444441E-3</v>
      </c>
      <c r="O69" s="139">
        <f t="shared" si="1"/>
        <v>1</v>
      </c>
    </row>
    <row r="70" spans="1:15" s="140" customFormat="1" ht="63" customHeight="1">
      <c r="A70" s="268" t="s">
        <v>638</v>
      </c>
      <c r="B70" s="183" t="s">
        <v>134</v>
      </c>
      <c r="C70" s="216">
        <v>0</v>
      </c>
      <c r="D70" s="177">
        <v>0</v>
      </c>
      <c r="E70" s="136"/>
      <c r="F70" s="183" t="s">
        <v>134</v>
      </c>
      <c r="G70" s="216">
        <v>0</v>
      </c>
      <c r="H70" s="177">
        <v>0</v>
      </c>
      <c r="I70" s="136"/>
      <c r="J70" s="183" t="s">
        <v>714</v>
      </c>
      <c r="K70" s="216">
        <v>1.0416666666666666E-2</v>
      </c>
      <c r="L70" s="217">
        <v>1</v>
      </c>
      <c r="M70" s="137"/>
      <c r="N70" s="141">
        <f>SUM(C70+G70+K70)</f>
        <v>1.0416666666666666E-2</v>
      </c>
      <c r="O70" s="139">
        <f t="shared" si="1"/>
        <v>1</v>
      </c>
    </row>
    <row r="71" spans="1:15" ht="16.5" customHeight="1">
      <c r="A71" s="876" t="s">
        <v>178</v>
      </c>
      <c r="B71" s="183"/>
      <c r="C71" s="915">
        <f>SUM(C10:C57)</f>
        <v>5.0104166666666661</v>
      </c>
      <c r="D71" s="177"/>
      <c r="E71" s="195"/>
      <c r="F71" s="195"/>
      <c r="G71" s="915">
        <f>SUM(G10:G57)</f>
        <v>4.7430555555555554</v>
      </c>
      <c r="H71" s="194"/>
      <c r="I71" s="195"/>
      <c r="J71" s="195"/>
      <c r="K71" s="915">
        <f>SUM(K10:K57)</f>
        <v>4.9513888888888893</v>
      </c>
      <c r="L71" s="194"/>
      <c r="N71" s="8"/>
      <c r="O71" s="135"/>
    </row>
    <row r="72" spans="1:15" ht="43.5" customHeight="1">
      <c r="A72" s="876"/>
      <c r="B72" s="208" t="str">
        <f>B80</f>
        <v>KOMBE</v>
      </c>
      <c r="C72" s="916"/>
      <c r="D72" s="196"/>
      <c r="E72" s="195"/>
      <c r="F72" s="208" t="str">
        <f>F80</f>
        <v>WAITHAKA</v>
      </c>
      <c r="G72" s="916"/>
      <c r="H72" s="196"/>
      <c r="I72" s="195"/>
      <c r="J72" s="208" t="str">
        <f>J5</f>
        <v>NDIRANGU</v>
      </c>
      <c r="K72" s="916"/>
      <c r="L72" s="196"/>
      <c r="N72" s="653">
        <f>SUM(N10:N66)</f>
        <v>16.739583333333336</v>
      </c>
      <c r="O72" s="652"/>
    </row>
    <row r="73" spans="1:15" ht="30">
      <c r="A73" s="1"/>
      <c r="B73" s="908"/>
      <c r="C73" s="195"/>
      <c r="D73" s="195"/>
      <c r="E73" s="195"/>
      <c r="F73" s="908"/>
      <c r="G73" s="195"/>
      <c r="H73" s="195"/>
      <c r="I73" s="195"/>
      <c r="J73" s="908"/>
      <c r="K73" s="195"/>
      <c r="L73" s="195"/>
    </row>
    <row r="74" spans="1:15" ht="30">
      <c r="A74" s="1"/>
      <c r="B74" s="908"/>
      <c r="C74" s="195"/>
      <c r="D74" s="195"/>
      <c r="E74" s="195"/>
      <c r="F74" s="908"/>
      <c r="G74" s="195"/>
      <c r="H74" s="195"/>
      <c r="I74" s="195"/>
      <c r="J74" s="908"/>
      <c r="K74" s="195"/>
      <c r="L74" s="195"/>
    </row>
    <row r="75" spans="1:15" ht="63" customHeight="1">
      <c r="A75" s="268" t="s">
        <v>251</v>
      </c>
      <c r="B75" s="183" t="s">
        <v>134</v>
      </c>
      <c r="C75" s="176">
        <v>0</v>
      </c>
      <c r="D75" s="177">
        <v>0</v>
      </c>
      <c r="E75" s="183"/>
      <c r="F75" s="183" t="s">
        <v>700</v>
      </c>
      <c r="G75" s="176">
        <v>2.0833333333333332E-2</v>
      </c>
      <c r="H75" s="177">
        <v>1</v>
      </c>
      <c r="I75" s="183"/>
      <c r="J75" s="183" t="s">
        <v>134</v>
      </c>
      <c r="K75" s="176">
        <v>0</v>
      </c>
      <c r="L75" s="177">
        <v>0</v>
      </c>
      <c r="M75" s="143"/>
      <c r="N75" s="138">
        <f>SUM(C75+G75+K75)</f>
        <v>2.0833333333333332E-2</v>
      </c>
      <c r="O75" s="142">
        <f>D75+H75+L75</f>
        <v>1</v>
      </c>
    </row>
    <row r="76" spans="1:15" ht="63" customHeight="1">
      <c r="A76" s="268" t="s">
        <v>252</v>
      </c>
      <c r="B76" s="183" t="s">
        <v>253</v>
      </c>
      <c r="C76" s="176">
        <v>0.33333333333333331</v>
      </c>
      <c r="D76" s="177">
        <v>0</v>
      </c>
      <c r="E76" s="183"/>
      <c r="F76" s="521" t="s">
        <v>174</v>
      </c>
      <c r="G76" s="176">
        <v>0.33333333333333331</v>
      </c>
      <c r="H76" s="177">
        <v>0</v>
      </c>
      <c r="I76" s="183"/>
      <c r="J76" s="183" t="s">
        <v>174</v>
      </c>
      <c r="K76" s="176">
        <v>0.33333333333333331</v>
      </c>
      <c r="L76" s="177">
        <v>0</v>
      </c>
      <c r="M76" s="143"/>
      <c r="N76" s="138">
        <f>SUM(C76+G76+K76)</f>
        <v>1</v>
      </c>
      <c r="O76" s="142">
        <f>D76+H76+L76</f>
        <v>0</v>
      </c>
    </row>
    <row r="77" spans="1:15" ht="63" customHeight="1">
      <c r="A77" s="268" t="s">
        <v>254</v>
      </c>
      <c r="B77" s="183" t="s">
        <v>548</v>
      </c>
      <c r="C77" s="176">
        <v>0</v>
      </c>
      <c r="D77" s="495">
        <v>0</v>
      </c>
      <c r="E77" s="136"/>
      <c r="F77" s="183" t="s">
        <v>174</v>
      </c>
      <c r="G77" s="176">
        <v>0</v>
      </c>
      <c r="H77" s="495">
        <v>0</v>
      </c>
      <c r="I77" s="136"/>
      <c r="J77" s="183" t="s">
        <v>174</v>
      </c>
      <c r="K77" s="176">
        <v>0</v>
      </c>
      <c r="L77" s="496">
        <v>0</v>
      </c>
      <c r="M77" s="137"/>
      <c r="N77" s="138">
        <f>SUM(C77+G77+K77)</f>
        <v>0</v>
      </c>
      <c r="O77" s="142">
        <f>D77+H77+L77</f>
        <v>0</v>
      </c>
    </row>
    <row r="78" spans="1:15" ht="63" customHeight="1">
      <c r="A78" s="268" t="s">
        <v>255</v>
      </c>
      <c r="B78" s="183" t="s">
        <v>134</v>
      </c>
      <c r="C78" s="494">
        <v>0</v>
      </c>
      <c r="D78" s="495">
        <v>0</v>
      </c>
      <c r="E78" s="136"/>
      <c r="F78" s="183" t="s">
        <v>134</v>
      </c>
      <c r="G78" s="494">
        <v>0</v>
      </c>
      <c r="H78" s="495">
        <v>0</v>
      </c>
      <c r="I78" s="136"/>
      <c r="J78" s="183" t="s">
        <v>134</v>
      </c>
      <c r="K78" s="494">
        <v>0</v>
      </c>
      <c r="L78" s="496">
        <v>0</v>
      </c>
      <c r="M78" s="137"/>
      <c r="N78" s="138">
        <f>SUM(C78+G78+K78)</f>
        <v>0</v>
      </c>
      <c r="O78" s="142">
        <f>D78+H78+L78</f>
        <v>0</v>
      </c>
    </row>
    <row r="79" spans="1:15" ht="30.75">
      <c r="A79" s="876" t="s">
        <v>178</v>
      </c>
      <c r="B79" s="263"/>
      <c r="C79" s="906">
        <f>SUM(C75:C78)</f>
        <v>0.33333333333333331</v>
      </c>
      <c r="D79" s="264"/>
      <c r="E79" s="265"/>
      <c r="F79" s="265"/>
      <c r="G79" s="906">
        <f>SUM(G75:G78)</f>
        <v>0.35416666666666663</v>
      </c>
      <c r="H79" s="264"/>
      <c r="I79" s="265"/>
      <c r="J79" s="265"/>
      <c r="K79" s="906">
        <f>SUM(K75:K78)</f>
        <v>0.33333333333333331</v>
      </c>
      <c r="N79" s="285">
        <f>SUM(N75:N78)</f>
        <v>1.0208333333333333</v>
      </c>
      <c r="O79" s="135"/>
    </row>
    <row r="80" spans="1:15" ht="30.75">
      <c r="A80" s="876"/>
      <c r="B80" s="208" t="s">
        <v>168</v>
      </c>
      <c r="C80" s="907"/>
      <c r="D80" s="266"/>
      <c r="E80" s="265"/>
      <c r="F80" s="208" t="s">
        <v>256</v>
      </c>
      <c r="G80" s="907"/>
      <c r="H80" s="266"/>
      <c r="I80" s="265"/>
      <c r="J80" s="208" t="s">
        <v>257</v>
      </c>
      <c r="K80" s="907"/>
      <c r="L80" s="266"/>
      <c r="N80" s="31"/>
      <c r="O80" s="31"/>
    </row>
    <row r="101" spans="10:10">
      <c r="J101" s="8" t="s">
        <v>258</v>
      </c>
    </row>
  </sheetData>
  <sheetProtection algorithmName="SHA-512" hashValue="Du8RU+GKsv+JXgcB7JsqiWQufKjY1Xl+hSfZNhT0A5xvCZlTV5H46DrPQIP7mtyRgLkiuGJo3Uk0taalM5LVdw==" saltValue="a2SoUwAwbhPDOf1qMXmp0g==" spinCount="100000" sheet="1" objects="1" scenarios="1"/>
  <mergeCells count="16">
    <mergeCell ref="N4:N7"/>
    <mergeCell ref="B1:J1"/>
    <mergeCell ref="O4:O7"/>
    <mergeCell ref="A71:A72"/>
    <mergeCell ref="C71:C72"/>
    <mergeCell ref="G71:G72"/>
    <mergeCell ref="K71:K72"/>
    <mergeCell ref="A6:A7"/>
    <mergeCell ref="B2:F2"/>
    <mergeCell ref="A79:A80"/>
    <mergeCell ref="C79:C80"/>
    <mergeCell ref="G79:G80"/>
    <mergeCell ref="K79:K80"/>
    <mergeCell ref="B73:B74"/>
    <mergeCell ref="F73:F74"/>
    <mergeCell ref="J73:J74"/>
  </mergeCells>
  <phoneticPr fontId="35" type="noConversion"/>
  <printOptions gridLines="1"/>
  <pageMargins left="0.7" right="0.7" top="0.75" bottom="0.75" header="0.3" footer="0.3"/>
  <pageSetup paperSize="9" scale="10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</sheetPr>
  <dimension ref="A1:FDV657"/>
  <sheetViews>
    <sheetView showWhiteSpace="0" topLeftCell="A35" zoomScale="40" zoomScaleNormal="40" zoomScaleSheetLayoutView="40" zoomScalePageLayoutView="39" workbookViewId="0">
      <selection activeCell="G40" sqref="G40"/>
    </sheetView>
  </sheetViews>
  <sheetFormatPr defaultColWidth="9.28515625" defaultRowHeight="16.5"/>
  <cols>
    <col min="1" max="1" width="25.28515625" style="8" customWidth="1"/>
    <col min="2" max="2" width="8.7109375" style="8" customWidth="1"/>
    <col min="3" max="3" width="65.7109375" style="8" customWidth="1"/>
    <col min="4" max="4" width="24.42578125" style="8" customWidth="1"/>
    <col min="5" max="5" width="31.28515625" style="8" customWidth="1"/>
    <col min="6" max="6" width="1.7109375" style="8" customWidth="1"/>
    <col min="7" max="7" width="65.7109375" style="8" customWidth="1"/>
    <col min="8" max="8" width="23.42578125" style="8" customWidth="1"/>
    <col min="9" max="9" width="30.7109375" style="8" customWidth="1"/>
    <col min="10" max="10" width="3.42578125" style="8" customWidth="1"/>
    <col min="11" max="11" width="65.7109375" style="8" customWidth="1"/>
    <col min="12" max="12" width="25.7109375" style="8" customWidth="1"/>
    <col min="13" max="13" width="30.42578125" style="8" customWidth="1"/>
    <col min="14" max="14" width="2.28515625" style="8" customWidth="1"/>
    <col min="15" max="16" width="24.7109375" style="1" customWidth="1"/>
    <col min="17" max="43" width="9.28515625" style="408"/>
    <col min="44" max="16384" width="9.28515625" style="8"/>
  </cols>
  <sheetData>
    <row r="1" spans="1:43 4182:4182" s="4" customFormat="1" ht="30.75">
      <c r="A1" s="400"/>
      <c r="B1" s="400"/>
      <c r="C1" s="930" t="s">
        <v>159</v>
      </c>
      <c r="D1" s="930"/>
      <c r="E1" s="930"/>
      <c r="F1" s="930"/>
      <c r="G1" s="930"/>
      <c r="H1" s="930"/>
      <c r="I1" s="930"/>
      <c r="J1" s="930"/>
      <c r="K1" s="930"/>
      <c r="L1" s="403"/>
      <c r="M1" s="403"/>
      <c r="N1" s="404">
        <v>1</v>
      </c>
      <c r="O1" s="400"/>
      <c r="P1" s="400"/>
      <c r="Q1" s="409"/>
      <c r="R1" s="409"/>
      <c r="S1" s="409"/>
      <c r="T1" s="409"/>
      <c r="U1" s="409"/>
      <c r="V1" s="409"/>
      <c r="W1" s="409"/>
      <c r="X1" s="409"/>
      <c r="Y1" s="409"/>
      <c r="Z1" s="409"/>
      <c r="AA1" s="409"/>
      <c r="AB1" s="409"/>
      <c r="AC1" s="409"/>
      <c r="AD1" s="409"/>
      <c r="AE1" s="409"/>
      <c r="AF1" s="409"/>
      <c r="AG1" s="409"/>
      <c r="AH1" s="409"/>
      <c r="AI1" s="409"/>
      <c r="AJ1" s="409"/>
      <c r="AK1" s="409"/>
      <c r="AL1" s="409"/>
      <c r="AM1" s="409"/>
      <c r="AN1" s="409"/>
      <c r="AO1" s="409"/>
      <c r="AP1" s="409"/>
      <c r="AQ1" s="409"/>
      <c r="FDV1" s="4" t="s">
        <v>259</v>
      </c>
    </row>
    <row r="2" spans="1:43 4182:4182" s="4" customFormat="1" ht="30.75">
      <c r="A2" s="400"/>
      <c r="B2" s="400"/>
      <c r="C2" s="934" t="s">
        <v>260</v>
      </c>
      <c r="D2" s="934"/>
      <c r="E2" s="934"/>
      <c r="F2" s="934"/>
      <c r="G2" s="934"/>
      <c r="H2" s="934"/>
      <c r="I2" s="934"/>
      <c r="J2" s="934"/>
      <c r="K2" s="934"/>
      <c r="L2" s="405"/>
      <c r="M2" s="406"/>
      <c r="N2" s="407"/>
      <c r="O2" s="400"/>
      <c r="P2" s="400"/>
      <c r="Q2" s="409"/>
      <c r="R2" s="409"/>
      <c r="S2" s="409"/>
      <c r="T2" s="409"/>
      <c r="U2" s="409"/>
      <c r="V2" s="409"/>
      <c r="W2" s="409"/>
      <c r="X2" s="409"/>
      <c r="Y2" s="409"/>
      <c r="Z2" s="409"/>
      <c r="AA2" s="409"/>
      <c r="AB2" s="409"/>
      <c r="AC2" s="409"/>
      <c r="AD2" s="409"/>
      <c r="AE2" s="409"/>
      <c r="AF2" s="409"/>
      <c r="AG2" s="409"/>
      <c r="AH2" s="409"/>
      <c r="AI2" s="409"/>
      <c r="AJ2" s="409"/>
      <c r="AK2" s="409"/>
      <c r="AL2" s="409"/>
      <c r="AM2" s="409"/>
      <c r="AN2" s="409"/>
      <c r="AO2" s="409"/>
      <c r="AP2" s="409"/>
      <c r="AQ2" s="409"/>
    </row>
    <row r="3" spans="1:43 4182:4182" ht="31.5" customHeight="1">
      <c r="A3" s="401" t="s">
        <v>261</v>
      </c>
      <c r="B3" s="933" t="str">
        <f>'OTHER REPORTS'!A3</f>
        <v>TUESDAY 21ST OCTOBER 2025</v>
      </c>
      <c r="C3" s="933"/>
      <c r="D3" s="399"/>
      <c r="E3" s="399"/>
      <c r="F3" s="3"/>
      <c r="G3" s="3"/>
      <c r="H3" s="3"/>
      <c r="I3" s="3"/>
      <c r="J3" s="3"/>
      <c r="K3" s="3"/>
      <c r="L3" s="3"/>
      <c r="M3" s="3"/>
      <c r="N3" s="408"/>
      <c r="O3" s="3"/>
      <c r="P3" s="3"/>
    </row>
    <row r="4" spans="1:43 4182:4182" s="11" customFormat="1" ht="27" customHeight="1">
      <c r="A4" s="402"/>
      <c r="B4" s="270"/>
      <c r="C4" s="931" t="s">
        <v>162</v>
      </c>
      <c r="D4" s="932"/>
      <c r="E4" s="397"/>
      <c r="F4" s="270"/>
      <c r="G4" s="893" t="s">
        <v>163</v>
      </c>
      <c r="H4" s="893"/>
      <c r="I4" s="397"/>
      <c r="J4" s="270"/>
      <c r="K4" s="894" t="s">
        <v>164</v>
      </c>
      <c r="L4" s="894"/>
      <c r="M4" s="397"/>
      <c r="N4" s="10"/>
      <c r="O4" s="938" t="s">
        <v>165</v>
      </c>
      <c r="P4" s="912" t="s">
        <v>166</v>
      </c>
      <c r="Q4" s="410"/>
      <c r="R4" s="410"/>
      <c r="S4" s="410"/>
      <c r="T4" s="410"/>
      <c r="U4" s="410"/>
      <c r="V4" s="410"/>
      <c r="W4" s="410"/>
      <c r="X4" s="410"/>
      <c r="Y4" s="410"/>
      <c r="Z4" s="410"/>
      <c r="AA4" s="410"/>
      <c r="AB4" s="410"/>
      <c r="AC4" s="410"/>
      <c r="AD4" s="410"/>
      <c r="AE4" s="410"/>
      <c r="AF4" s="410"/>
      <c r="AG4" s="410"/>
      <c r="AH4" s="410"/>
      <c r="AI4" s="410"/>
      <c r="AJ4" s="410"/>
      <c r="AK4" s="410"/>
      <c r="AL4" s="410"/>
      <c r="AM4" s="410"/>
      <c r="AN4" s="410"/>
      <c r="AO4" s="410"/>
      <c r="AP4" s="410"/>
      <c r="AQ4" s="410"/>
    </row>
    <row r="5" spans="1:43 4182:4182" s="14" customFormat="1" ht="30.75" customHeight="1">
      <c r="A5" s="102" t="s">
        <v>167</v>
      </c>
      <c r="B5" s="102"/>
      <c r="C5" s="939" t="str">
        <f>'STS RMG FAULTS'!C5</f>
        <v>KOMBE</v>
      </c>
      <c r="D5" s="940"/>
      <c r="E5" s="398"/>
      <c r="F5" s="50"/>
      <c r="G5" s="939" t="str">
        <f>'STS RMG FAULTS'!G5</f>
        <v>AMUTI</v>
      </c>
      <c r="H5" s="940"/>
      <c r="I5" s="398"/>
      <c r="J5" s="50"/>
      <c r="K5" s="939" t="str">
        <f>'STS RMG FAULTS'!K5</f>
        <v>NDIRANGU</v>
      </c>
      <c r="L5" s="940"/>
      <c r="M5" s="398"/>
      <c r="N5" s="13"/>
      <c r="O5" s="938"/>
      <c r="P5" s="913"/>
      <c r="Q5" s="411"/>
      <c r="R5" s="411"/>
      <c r="S5" s="411"/>
      <c r="T5" s="411"/>
      <c r="U5" s="411"/>
      <c r="V5" s="411"/>
      <c r="W5" s="411"/>
      <c r="X5" s="411"/>
      <c r="Y5" s="411"/>
      <c r="Z5" s="411"/>
      <c r="AA5" s="411"/>
      <c r="AB5" s="411"/>
      <c r="AC5" s="411"/>
      <c r="AD5" s="411"/>
      <c r="AE5" s="411"/>
      <c r="AF5" s="411"/>
      <c r="AG5" s="411"/>
      <c r="AH5" s="411"/>
      <c r="AI5" s="411"/>
      <c r="AJ5" s="411"/>
      <c r="AK5" s="411"/>
      <c r="AL5" s="411"/>
      <c r="AM5" s="411"/>
      <c r="AN5" s="411"/>
      <c r="AO5" s="411"/>
      <c r="AP5" s="411"/>
      <c r="AQ5" s="411"/>
    </row>
    <row r="6" spans="1:43 4182:4182" s="20" customFormat="1" ht="33.75" customHeight="1">
      <c r="A6" s="943" t="s">
        <v>169</v>
      </c>
      <c r="B6" s="538" t="s">
        <v>21</v>
      </c>
      <c r="C6" s="15">
        <v>10</v>
      </c>
      <c r="D6" s="16"/>
      <c r="E6" s="395"/>
      <c r="F6" s="17"/>
      <c r="G6" s="15">
        <v>10</v>
      </c>
      <c r="H6" s="18"/>
      <c r="I6" s="393"/>
      <c r="J6" s="17"/>
      <c r="K6" s="15">
        <v>10</v>
      </c>
      <c r="L6" s="18"/>
      <c r="M6" s="396"/>
      <c r="N6" s="19"/>
      <c r="O6" s="938"/>
      <c r="P6" s="913"/>
    </row>
    <row r="7" spans="1:43 4182:4182" s="20" customFormat="1" ht="33.75" customHeight="1">
      <c r="A7" s="944"/>
      <c r="B7" s="945" t="s">
        <v>23</v>
      </c>
      <c r="C7" s="197" t="s">
        <v>180</v>
      </c>
      <c r="D7" s="18">
        <v>7</v>
      </c>
      <c r="E7" s="395"/>
      <c r="F7" s="17"/>
      <c r="G7" s="197" t="s">
        <v>180</v>
      </c>
      <c r="H7" s="18">
        <v>7</v>
      </c>
      <c r="I7" s="393"/>
      <c r="J7" s="17"/>
      <c r="K7" s="197" t="s">
        <v>180</v>
      </c>
      <c r="L7" s="18">
        <v>7</v>
      </c>
      <c r="M7" s="393"/>
      <c r="N7" s="19"/>
      <c r="O7" s="938"/>
      <c r="P7" s="913"/>
    </row>
    <row r="8" spans="1:43 4182:4182" s="20" customFormat="1" ht="30.75" customHeight="1">
      <c r="A8" s="944"/>
      <c r="B8" s="946"/>
      <c r="C8" s="197" t="s">
        <v>181</v>
      </c>
      <c r="D8" s="18">
        <v>7</v>
      </c>
      <c r="E8" s="394"/>
      <c r="F8" s="17"/>
      <c r="G8" s="197" t="s">
        <v>181</v>
      </c>
      <c r="H8" s="18">
        <v>7</v>
      </c>
      <c r="I8" s="394"/>
      <c r="J8" s="17"/>
      <c r="K8" s="197" t="s">
        <v>181</v>
      </c>
      <c r="L8" s="18">
        <v>6</v>
      </c>
      <c r="M8" s="394"/>
      <c r="N8" s="19"/>
      <c r="O8" s="938"/>
      <c r="P8" s="914"/>
    </row>
    <row r="9" spans="1:43 4182:4182" s="25" customFormat="1" ht="36" customHeight="1">
      <c r="A9" s="282" t="s">
        <v>81</v>
      </c>
      <c r="B9" s="941"/>
      <c r="C9" s="942"/>
      <c r="D9" s="283" t="s">
        <v>109</v>
      </c>
      <c r="E9" s="283" t="s">
        <v>111</v>
      </c>
      <c r="F9" s="103"/>
      <c r="G9" s="282" t="s">
        <v>172</v>
      </c>
      <c r="H9" s="283" t="s">
        <v>109</v>
      </c>
      <c r="I9" s="283" t="s">
        <v>111</v>
      </c>
      <c r="J9" s="103"/>
      <c r="K9" s="282" t="s">
        <v>172</v>
      </c>
      <c r="L9" s="283" t="s">
        <v>109</v>
      </c>
      <c r="M9" s="283" t="s">
        <v>111</v>
      </c>
      <c r="N9" s="24"/>
      <c r="O9" s="29"/>
      <c r="P9" s="46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</row>
    <row r="10" spans="1:43 4182:4182" s="27" customFormat="1" ht="63" customHeight="1">
      <c r="A10" s="269" t="s">
        <v>262</v>
      </c>
      <c r="B10" s="923" t="s">
        <v>664</v>
      </c>
      <c r="C10" s="924"/>
      <c r="D10" s="280">
        <v>0.33333333333333331</v>
      </c>
      <c r="E10" s="178">
        <v>0</v>
      </c>
      <c r="F10" s="28"/>
      <c r="G10" s="523" t="s">
        <v>174</v>
      </c>
      <c r="H10" s="280">
        <v>0.33333333333333331</v>
      </c>
      <c r="I10" s="178">
        <v>0</v>
      </c>
      <c r="J10" s="28"/>
      <c r="K10" s="505" t="s">
        <v>174</v>
      </c>
      <c r="L10" s="280">
        <v>0.33333333333333331</v>
      </c>
      <c r="M10" s="178">
        <v>0</v>
      </c>
      <c r="N10" s="26"/>
      <c r="O10" s="30">
        <f>SUM(D10+H10+L10)</f>
        <v>1</v>
      </c>
      <c r="P10" s="42">
        <f t="shared" ref="P10:P12" si="0">E10+I10+M10</f>
        <v>0</v>
      </c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</row>
    <row r="11" spans="1:43 4182:4182" s="27" customFormat="1" ht="63" customHeight="1">
      <c r="A11" s="269" t="s">
        <v>264</v>
      </c>
      <c r="B11" s="923" t="s">
        <v>687</v>
      </c>
      <c r="C11" s="924"/>
      <c r="D11" s="280">
        <v>7.9861111111111105E-2</v>
      </c>
      <c r="E11" s="178">
        <v>1</v>
      </c>
      <c r="F11" s="28"/>
      <c r="G11" s="281" t="s">
        <v>134</v>
      </c>
      <c r="H11" s="522">
        <v>0</v>
      </c>
      <c r="I11" s="178">
        <v>0</v>
      </c>
      <c r="J11" s="28"/>
      <c r="K11" s="523" t="s">
        <v>134</v>
      </c>
      <c r="L11" s="280">
        <v>0</v>
      </c>
      <c r="M11" s="178">
        <v>0</v>
      </c>
      <c r="N11" s="26"/>
      <c r="O11" s="30">
        <f t="shared" ref="O11:O51" si="1">SUM(D11+H11+L11)</f>
        <v>7.9861111111111105E-2</v>
      </c>
      <c r="P11" s="42">
        <f t="shared" si="0"/>
        <v>1</v>
      </c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</row>
    <row r="12" spans="1:43 4182:4182" s="27" customFormat="1" ht="63" customHeight="1">
      <c r="A12" s="269" t="s">
        <v>265</v>
      </c>
      <c r="B12" s="923" t="s">
        <v>266</v>
      </c>
      <c r="C12" s="924"/>
      <c r="D12" s="280">
        <v>0.33333333333333331</v>
      </c>
      <c r="E12" s="178">
        <v>0</v>
      </c>
      <c r="F12" s="28"/>
      <c r="G12" s="281" t="s">
        <v>174</v>
      </c>
      <c r="H12" s="280">
        <v>0.33333333333333331</v>
      </c>
      <c r="I12" s="178">
        <v>0</v>
      </c>
      <c r="J12" s="28"/>
      <c r="K12" s="505" t="s">
        <v>174</v>
      </c>
      <c r="L12" s="280">
        <v>0.33333333333333331</v>
      </c>
      <c r="M12" s="178">
        <v>0</v>
      </c>
      <c r="N12" s="26"/>
      <c r="O12" s="30">
        <f t="shared" si="1"/>
        <v>1</v>
      </c>
      <c r="P12" s="42">
        <f t="shared" si="0"/>
        <v>0</v>
      </c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</row>
    <row r="13" spans="1:43 4182:4182" s="27" customFormat="1" ht="63" customHeight="1">
      <c r="A13" s="269" t="s">
        <v>267</v>
      </c>
      <c r="B13" s="923" t="s">
        <v>134</v>
      </c>
      <c r="C13" s="924"/>
      <c r="D13" s="280">
        <v>0</v>
      </c>
      <c r="E13" s="178">
        <v>0</v>
      </c>
      <c r="F13" s="28"/>
      <c r="G13" s="281" t="s">
        <v>134</v>
      </c>
      <c r="H13" s="280">
        <v>0</v>
      </c>
      <c r="I13" s="178">
        <v>0</v>
      </c>
      <c r="J13" s="28"/>
      <c r="K13" s="505" t="s">
        <v>134</v>
      </c>
      <c r="L13" s="280">
        <v>0</v>
      </c>
      <c r="M13" s="178">
        <v>0</v>
      </c>
      <c r="N13" s="26"/>
      <c r="O13" s="30">
        <f t="shared" ref="O13:O28" si="2">SUM(D13+H13+L13)</f>
        <v>0</v>
      </c>
      <c r="P13" s="42">
        <f t="shared" ref="P13:P28" si="3">E13+I13+M13</f>
        <v>0</v>
      </c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</row>
    <row r="14" spans="1:43 4182:4182" s="27" customFormat="1" ht="63" customHeight="1">
      <c r="A14" s="269" t="s">
        <v>268</v>
      </c>
      <c r="B14" s="923" t="s">
        <v>134</v>
      </c>
      <c r="C14" s="924"/>
      <c r="D14" s="280">
        <v>0</v>
      </c>
      <c r="E14" s="178">
        <v>0</v>
      </c>
      <c r="F14" s="28"/>
      <c r="G14" s="281" t="s">
        <v>134</v>
      </c>
      <c r="H14" s="280">
        <v>0</v>
      </c>
      <c r="I14" s="178">
        <v>0</v>
      </c>
      <c r="J14" s="28"/>
      <c r="K14" s="181" t="s">
        <v>134</v>
      </c>
      <c r="L14" s="280">
        <v>0</v>
      </c>
      <c r="M14" s="178">
        <v>0</v>
      </c>
      <c r="N14" s="26"/>
      <c r="O14" s="30">
        <f t="shared" si="2"/>
        <v>0</v>
      </c>
      <c r="P14" s="42">
        <f t="shared" si="3"/>
        <v>0</v>
      </c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</row>
    <row r="15" spans="1:43 4182:4182" s="27" customFormat="1" ht="63" customHeight="1">
      <c r="A15" s="269" t="s">
        <v>269</v>
      </c>
      <c r="B15" s="923" t="s">
        <v>627</v>
      </c>
      <c r="C15" s="924"/>
      <c r="D15" s="280">
        <v>0.33333333333333331</v>
      </c>
      <c r="E15" s="178">
        <v>0</v>
      </c>
      <c r="F15" s="28"/>
      <c r="G15" s="527" t="s">
        <v>174</v>
      </c>
      <c r="H15" s="280">
        <v>0.33333333333333331</v>
      </c>
      <c r="I15" s="178">
        <v>0</v>
      </c>
      <c r="J15" s="28"/>
      <c r="K15" s="584" t="s">
        <v>174</v>
      </c>
      <c r="L15" s="280">
        <v>0.33333333333333331</v>
      </c>
      <c r="M15" s="178">
        <v>0</v>
      </c>
      <c r="N15" s="26"/>
      <c r="O15" s="30">
        <f t="shared" si="2"/>
        <v>1</v>
      </c>
      <c r="P15" s="42">
        <f t="shared" si="3"/>
        <v>0</v>
      </c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</row>
    <row r="16" spans="1:43 4182:4182" s="27" customFormat="1" ht="63" customHeight="1">
      <c r="A16" s="269" t="s">
        <v>270</v>
      </c>
      <c r="B16" s="923" t="s">
        <v>679</v>
      </c>
      <c r="C16" s="924"/>
      <c r="D16" s="280">
        <v>0.33333333333333331</v>
      </c>
      <c r="E16" s="178">
        <v>0</v>
      </c>
      <c r="F16" s="28"/>
      <c r="G16" s="600" t="s">
        <v>174</v>
      </c>
      <c r="H16" s="280">
        <v>0.33333333333333331</v>
      </c>
      <c r="I16" s="178">
        <v>0</v>
      </c>
      <c r="J16" s="28"/>
      <c r="K16" s="181" t="s">
        <v>174</v>
      </c>
      <c r="L16" s="280">
        <v>0.33333333333333331</v>
      </c>
      <c r="M16" s="178">
        <v>0</v>
      </c>
      <c r="N16" s="26"/>
      <c r="O16" s="30">
        <f t="shared" si="2"/>
        <v>1</v>
      </c>
      <c r="P16" s="42">
        <f t="shared" si="3"/>
        <v>0</v>
      </c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</row>
    <row r="17" spans="1:43" s="27" customFormat="1" ht="63" customHeight="1">
      <c r="A17" s="269" t="s">
        <v>271</v>
      </c>
      <c r="B17" s="923" t="s">
        <v>632</v>
      </c>
      <c r="C17" s="924"/>
      <c r="D17" s="280">
        <v>0.33333333333333331</v>
      </c>
      <c r="E17" s="178">
        <v>0</v>
      </c>
      <c r="F17" s="28"/>
      <c r="G17" s="281" t="s">
        <v>174</v>
      </c>
      <c r="H17" s="280">
        <v>0.33333333333333331</v>
      </c>
      <c r="I17" s="178">
        <v>0</v>
      </c>
      <c r="J17" s="28"/>
      <c r="K17" s="181" t="s">
        <v>174</v>
      </c>
      <c r="L17" s="280">
        <v>0.33333333333333331</v>
      </c>
      <c r="M17" s="178">
        <v>0</v>
      </c>
      <c r="N17" s="26"/>
      <c r="O17" s="30">
        <f t="shared" si="2"/>
        <v>1</v>
      </c>
      <c r="P17" s="42">
        <f t="shared" si="3"/>
        <v>0</v>
      </c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</row>
    <row r="18" spans="1:43" s="27" customFormat="1" ht="63" customHeight="1">
      <c r="A18" s="269" t="s">
        <v>272</v>
      </c>
      <c r="B18" s="923" t="s">
        <v>134</v>
      </c>
      <c r="C18" s="924"/>
      <c r="D18" s="280">
        <v>0</v>
      </c>
      <c r="E18" s="178">
        <v>0</v>
      </c>
      <c r="F18" s="28"/>
      <c r="G18" s="281" t="s">
        <v>134</v>
      </c>
      <c r="H18" s="280">
        <v>0</v>
      </c>
      <c r="I18" s="178">
        <v>0</v>
      </c>
      <c r="J18" s="28"/>
      <c r="K18" s="281" t="s">
        <v>134</v>
      </c>
      <c r="L18" s="280">
        <v>0</v>
      </c>
      <c r="M18" s="178">
        <v>0</v>
      </c>
      <c r="N18" s="26"/>
      <c r="O18" s="30">
        <f t="shared" si="2"/>
        <v>0</v>
      </c>
      <c r="P18" s="42">
        <f t="shared" si="3"/>
        <v>0</v>
      </c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</row>
    <row r="19" spans="1:43" s="27" customFormat="1" ht="63" customHeight="1">
      <c r="A19" s="269" t="s">
        <v>273</v>
      </c>
      <c r="B19" s="923" t="s">
        <v>263</v>
      </c>
      <c r="C19" s="924"/>
      <c r="D19" s="280">
        <v>0.33333333333333331</v>
      </c>
      <c r="E19" s="178">
        <v>0</v>
      </c>
      <c r="F19" s="28"/>
      <c r="G19" s="281" t="s">
        <v>174</v>
      </c>
      <c r="H19" s="280">
        <v>0.33333333333333331</v>
      </c>
      <c r="I19" s="178">
        <v>0</v>
      </c>
      <c r="J19" s="28"/>
      <c r="K19" s="181" t="s">
        <v>174</v>
      </c>
      <c r="L19" s="280">
        <v>0.33333333333333331</v>
      </c>
      <c r="M19" s="178">
        <v>0</v>
      </c>
      <c r="N19" s="26"/>
      <c r="O19" s="30">
        <f t="shared" si="2"/>
        <v>1</v>
      </c>
      <c r="P19" s="42">
        <f t="shared" si="3"/>
        <v>0</v>
      </c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</row>
    <row r="20" spans="1:43" s="27" customFormat="1" ht="63" customHeight="1">
      <c r="A20" s="269" t="s">
        <v>274</v>
      </c>
      <c r="B20" s="923" t="s">
        <v>134</v>
      </c>
      <c r="C20" s="924"/>
      <c r="D20" s="280">
        <v>0</v>
      </c>
      <c r="E20" s="178">
        <v>0</v>
      </c>
      <c r="F20" s="28"/>
      <c r="G20" s="281" t="s">
        <v>134</v>
      </c>
      <c r="H20" s="280">
        <v>0</v>
      </c>
      <c r="I20" s="178">
        <v>0</v>
      </c>
      <c r="J20" s="28"/>
      <c r="K20" s="181" t="s">
        <v>134</v>
      </c>
      <c r="L20" s="280">
        <v>0</v>
      </c>
      <c r="M20" s="178">
        <v>0</v>
      </c>
      <c r="N20" s="26"/>
      <c r="O20" s="30">
        <f t="shared" si="2"/>
        <v>0</v>
      </c>
      <c r="P20" s="42">
        <f t="shared" si="3"/>
        <v>0</v>
      </c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</row>
    <row r="21" spans="1:43" s="27" customFormat="1" ht="63" customHeight="1">
      <c r="A21" s="269" t="s">
        <v>275</v>
      </c>
      <c r="B21" s="923" t="s">
        <v>134</v>
      </c>
      <c r="C21" s="924"/>
      <c r="D21" s="280">
        <v>0</v>
      </c>
      <c r="E21" s="178">
        <v>0</v>
      </c>
      <c r="F21" s="28"/>
      <c r="G21" s="281" t="s">
        <v>134</v>
      </c>
      <c r="H21" s="280">
        <v>0</v>
      </c>
      <c r="I21" s="178">
        <v>0</v>
      </c>
      <c r="J21" s="28"/>
      <c r="K21" s="181" t="s">
        <v>134</v>
      </c>
      <c r="L21" s="280">
        <v>0</v>
      </c>
      <c r="M21" s="178">
        <v>0</v>
      </c>
      <c r="N21" s="26"/>
      <c r="O21" s="30">
        <f t="shared" si="2"/>
        <v>0</v>
      </c>
      <c r="P21" s="42">
        <f t="shared" si="3"/>
        <v>0</v>
      </c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34"/>
      <c r="AE21" s="34"/>
      <c r="AF21" s="34"/>
      <c r="AG21" s="34"/>
      <c r="AH21" s="34"/>
      <c r="AI21" s="34"/>
      <c r="AJ21" s="34"/>
      <c r="AK21" s="34"/>
      <c r="AL21" s="34"/>
      <c r="AM21" s="34"/>
      <c r="AN21" s="34"/>
      <c r="AO21" s="34"/>
      <c r="AP21" s="34"/>
      <c r="AQ21" s="34"/>
    </row>
    <row r="22" spans="1:43" s="27" customFormat="1" ht="63" customHeight="1">
      <c r="A22" s="269" t="s">
        <v>276</v>
      </c>
      <c r="B22" s="923" t="s">
        <v>134</v>
      </c>
      <c r="C22" s="924"/>
      <c r="D22" s="280">
        <v>0</v>
      </c>
      <c r="E22" s="178">
        <v>0</v>
      </c>
      <c r="F22" s="28"/>
      <c r="G22" s="281" t="s">
        <v>134</v>
      </c>
      <c r="H22" s="280">
        <v>0</v>
      </c>
      <c r="I22" s="178">
        <v>0</v>
      </c>
      <c r="J22" s="28"/>
      <c r="K22" s="181" t="s">
        <v>134</v>
      </c>
      <c r="L22" s="280">
        <v>0</v>
      </c>
      <c r="M22" s="178">
        <v>0</v>
      </c>
      <c r="N22" s="26"/>
      <c r="O22" s="30">
        <f>SUM(D22+H22+L22)</f>
        <v>0</v>
      </c>
      <c r="P22" s="42">
        <f t="shared" si="3"/>
        <v>0</v>
      </c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</row>
    <row r="23" spans="1:43" s="27" customFormat="1" ht="63" customHeight="1">
      <c r="A23" s="269" t="s">
        <v>277</v>
      </c>
      <c r="B23" s="923" t="s">
        <v>680</v>
      </c>
      <c r="C23" s="924"/>
      <c r="D23" s="280">
        <v>0.22916666666666666</v>
      </c>
      <c r="E23" s="178">
        <v>0</v>
      </c>
      <c r="F23" s="28"/>
      <c r="G23" s="281" t="s">
        <v>699</v>
      </c>
      <c r="H23" s="280">
        <v>4.1666666666666664E-2</v>
      </c>
      <c r="I23" s="178">
        <v>1</v>
      </c>
      <c r="J23" s="28"/>
      <c r="K23" s="181" t="s">
        <v>713</v>
      </c>
      <c r="L23" s="280">
        <v>0.2986111111111111</v>
      </c>
      <c r="M23" s="178">
        <v>1</v>
      </c>
      <c r="N23" s="26"/>
      <c r="O23" s="30">
        <f t="shared" si="2"/>
        <v>0.56944444444444442</v>
      </c>
      <c r="P23" s="42">
        <f t="shared" si="3"/>
        <v>2</v>
      </c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</row>
    <row r="24" spans="1:43" s="27" customFormat="1" ht="63" customHeight="1">
      <c r="A24" s="269" t="s">
        <v>278</v>
      </c>
      <c r="B24" s="923" t="s">
        <v>134</v>
      </c>
      <c r="C24" s="924"/>
      <c r="D24" s="280">
        <v>0</v>
      </c>
      <c r="E24" s="178">
        <v>0</v>
      </c>
      <c r="F24" s="28"/>
      <c r="G24" s="281" t="s">
        <v>134</v>
      </c>
      <c r="H24" s="280">
        <v>0</v>
      </c>
      <c r="I24" s="178">
        <v>0</v>
      </c>
      <c r="J24" s="28"/>
      <c r="K24" s="181" t="s">
        <v>134</v>
      </c>
      <c r="L24" s="280">
        <v>0</v>
      </c>
      <c r="M24" s="178">
        <v>0</v>
      </c>
      <c r="N24" s="26">
        <v>1</v>
      </c>
      <c r="O24" s="30">
        <f t="shared" si="2"/>
        <v>0</v>
      </c>
      <c r="P24" s="42">
        <f t="shared" si="3"/>
        <v>0</v>
      </c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</row>
    <row r="25" spans="1:43" s="27" customFormat="1" ht="63" customHeight="1">
      <c r="A25" s="269" t="s">
        <v>279</v>
      </c>
      <c r="B25" s="923" t="s">
        <v>134</v>
      </c>
      <c r="C25" s="924"/>
      <c r="D25" s="280">
        <v>0</v>
      </c>
      <c r="E25" s="178">
        <v>0</v>
      </c>
      <c r="F25" s="28"/>
      <c r="G25" s="281" t="s">
        <v>134</v>
      </c>
      <c r="H25" s="280">
        <v>0</v>
      </c>
      <c r="I25" s="178">
        <v>0</v>
      </c>
      <c r="J25" s="28"/>
      <c r="K25" s="181" t="s">
        <v>134</v>
      </c>
      <c r="L25" s="280">
        <v>0</v>
      </c>
      <c r="M25" s="178">
        <v>0</v>
      </c>
      <c r="N25" s="26"/>
      <c r="O25" s="30">
        <f t="shared" si="2"/>
        <v>0</v>
      </c>
      <c r="P25" s="42">
        <f t="shared" si="3"/>
        <v>0</v>
      </c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</row>
    <row r="26" spans="1:43" s="27" customFormat="1" ht="63" customHeight="1">
      <c r="A26" s="269" t="s">
        <v>280</v>
      </c>
      <c r="B26" s="923" t="s">
        <v>281</v>
      </c>
      <c r="C26" s="924"/>
      <c r="D26" s="280">
        <v>0.33333333333333331</v>
      </c>
      <c r="E26" s="178">
        <v>0</v>
      </c>
      <c r="F26" s="28"/>
      <c r="G26" s="281" t="s">
        <v>174</v>
      </c>
      <c r="H26" s="280">
        <v>0.33333333333333331</v>
      </c>
      <c r="I26" s="178">
        <v>0</v>
      </c>
      <c r="J26" s="28"/>
      <c r="K26" s="281" t="s">
        <v>174</v>
      </c>
      <c r="L26" s="280">
        <v>0.33333333333333331</v>
      </c>
      <c r="M26" s="178">
        <v>0</v>
      </c>
      <c r="N26" s="26"/>
      <c r="O26" s="30">
        <f t="shared" si="2"/>
        <v>1</v>
      </c>
      <c r="P26" s="42">
        <f t="shared" si="3"/>
        <v>0</v>
      </c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</row>
    <row r="27" spans="1:43" s="27" customFormat="1" ht="63" customHeight="1">
      <c r="A27" s="269" t="s">
        <v>282</v>
      </c>
      <c r="B27" s="923" t="s">
        <v>263</v>
      </c>
      <c r="C27" s="924"/>
      <c r="D27" s="280">
        <v>0.33333333333333331</v>
      </c>
      <c r="E27" s="178">
        <v>0</v>
      </c>
      <c r="F27" s="28"/>
      <c r="G27" s="281" t="s">
        <v>174</v>
      </c>
      <c r="H27" s="280">
        <v>0.33333333333333331</v>
      </c>
      <c r="I27" s="178">
        <v>0</v>
      </c>
      <c r="J27" s="28"/>
      <c r="K27" s="181" t="s">
        <v>174</v>
      </c>
      <c r="L27" s="280">
        <v>0.33333333333333331</v>
      </c>
      <c r="M27" s="178">
        <v>0</v>
      </c>
      <c r="N27" s="26"/>
      <c r="O27" s="30">
        <f t="shared" si="2"/>
        <v>1</v>
      </c>
      <c r="P27" s="42">
        <f t="shared" si="3"/>
        <v>0</v>
      </c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</row>
    <row r="28" spans="1:43" s="27" customFormat="1" ht="63" customHeight="1">
      <c r="A28" s="269" t="s">
        <v>283</v>
      </c>
      <c r="B28" s="923" t="s">
        <v>284</v>
      </c>
      <c r="C28" s="924"/>
      <c r="D28" s="280">
        <v>0.33333333333333331</v>
      </c>
      <c r="E28" s="178">
        <v>0</v>
      </c>
      <c r="F28" s="28"/>
      <c r="G28" s="281" t="s">
        <v>174</v>
      </c>
      <c r="H28" s="280">
        <v>0.33333333333333331</v>
      </c>
      <c r="I28" s="178">
        <v>0</v>
      </c>
      <c r="J28" s="28"/>
      <c r="K28" s="181" t="s">
        <v>174</v>
      </c>
      <c r="L28" s="280">
        <v>0.33333333333333331</v>
      </c>
      <c r="M28" s="178">
        <v>0</v>
      </c>
      <c r="N28" s="26"/>
      <c r="O28" s="30">
        <f t="shared" si="2"/>
        <v>1</v>
      </c>
      <c r="P28" s="42">
        <f t="shared" si="3"/>
        <v>0</v>
      </c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</row>
    <row r="29" spans="1:43" s="34" customFormat="1" ht="4.5" hidden="1" customHeight="1">
      <c r="A29" s="198"/>
      <c r="B29" s="19"/>
      <c r="C29" s="243"/>
      <c r="D29" s="280">
        <v>0</v>
      </c>
      <c r="E29" s="178">
        <v>0</v>
      </c>
      <c r="F29" s="33"/>
      <c r="G29" s="182"/>
      <c r="H29" s="280">
        <f>SUM(H7:H8)</f>
        <v>14</v>
      </c>
      <c r="I29" s="178">
        <v>0</v>
      </c>
      <c r="J29" s="33"/>
      <c r="K29" s="181" t="s">
        <v>134</v>
      </c>
      <c r="L29" s="280"/>
      <c r="M29" s="178">
        <v>0</v>
      </c>
      <c r="N29" s="32"/>
      <c r="O29" s="30">
        <f t="shared" si="1"/>
        <v>14</v>
      </c>
      <c r="P29" s="42">
        <f>E29+I29+M29</f>
        <v>0</v>
      </c>
    </row>
    <row r="30" spans="1:43" s="34" customFormat="1" ht="76.5">
      <c r="A30" s="529" t="s">
        <v>178</v>
      </c>
      <c r="B30" s="928"/>
      <c r="C30" s="929"/>
      <c r="D30" s="530">
        <f>SUM(D10:D28)</f>
        <v>3.3090277777777777</v>
      </c>
      <c r="E30" s="531"/>
      <c r="F30" s="532"/>
      <c r="G30" s="533"/>
      <c r="H30" s="530">
        <f>SUM(H10:H28)</f>
        <v>3.041666666666667</v>
      </c>
      <c r="I30" s="531"/>
      <c r="J30" s="532"/>
      <c r="K30" s="534"/>
      <c r="L30" s="530">
        <f>SUM(L10:L28)</f>
        <v>3.2986111111111112</v>
      </c>
      <c r="M30" s="531"/>
      <c r="N30" s="535"/>
      <c r="O30" s="536">
        <f>SUM(O10:O28)</f>
        <v>9.6493055555555554</v>
      </c>
      <c r="P30" s="537"/>
    </row>
    <row r="31" spans="1:43" s="27" customFormat="1" ht="63" customHeight="1">
      <c r="A31" s="269" t="s">
        <v>285</v>
      </c>
      <c r="B31" s="921" t="s">
        <v>286</v>
      </c>
      <c r="C31" s="922"/>
      <c r="D31" s="280">
        <v>0.33333333333333331</v>
      </c>
      <c r="E31" s="178">
        <v>0</v>
      </c>
      <c r="F31" s="28"/>
      <c r="G31" s="182" t="s">
        <v>174</v>
      </c>
      <c r="H31" s="280">
        <v>0.33333333333333331</v>
      </c>
      <c r="I31" s="178">
        <v>0</v>
      </c>
      <c r="J31" s="28"/>
      <c r="K31" s="416" t="s">
        <v>174</v>
      </c>
      <c r="L31" s="280">
        <v>0.33333333333333331</v>
      </c>
      <c r="M31" s="178">
        <v>0</v>
      </c>
      <c r="N31" s="26"/>
      <c r="O31" s="30">
        <f t="shared" si="1"/>
        <v>1</v>
      </c>
      <c r="P31" s="42">
        <f t="shared" ref="P31:P51" si="4">E31+I31+M31</f>
        <v>0</v>
      </c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34"/>
      <c r="AE31" s="34"/>
      <c r="AF31" s="34"/>
      <c r="AG31" s="34"/>
      <c r="AH31" s="34"/>
      <c r="AI31" s="34"/>
      <c r="AJ31" s="34"/>
      <c r="AK31" s="34"/>
      <c r="AL31" s="34"/>
      <c r="AM31" s="34"/>
      <c r="AN31" s="34"/>
      <c r="AO31" s="34"/>
      <c r="AP31" s="34"/>
      <c r="AQ31" s="34"/>
    </row>
    <row r="32" spans="1:43" s="27" customFormat="1" ht="63" customHeight="1">
      <c r="A32" s="269" t="s">
        <v>287</v>
      </c>
      <c r="B32" s="921" t="s">
        <v>631</v>
      </c>
      <c r="C32" s="922"/>
      <c r="D32" s="280">
        <v>0.33333333333333331</v>
      </c>
      <c r="E32" s="178">
        <v>0</v>
      </c>
      <c r="F32" s="28"/>
      <c r="G32" s="182" t="s">
        <v>174</v>
      </c>
      <c r="H32" s="280">
        <v>0.33333333333333331</v>
      </c>
      <c r="I32" s="178">
        <v>0</v>
      </c>
      <c r="J32" s="28"/>
      <c r="K32" s="181" t="s">
        <v>174</v>
      </c>
      <c r="L32" s="280">
        <v>0.33333333333333331</v>
      </c>
      <c r="M32" s="178">
        <v>0</v>
      </c>
      <c r="N32" s="26"/>
      <c r="O32" s="30">
        <f t="shared" si="1"/>
        <v>1</v>
      </c>
      <c r="P32" s="42">
        <f t="shared" si="4"/>
        <v>0</v>
      </c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</row>
    <row r="33" spans="1:43" s="25" customFormat="1" ht="63" customHeight="1">
      <c r="A33" s="269" t="s">
        <v>288</v>
      </c>
      <c r="B33" s="923" t="s">
        <v>134</v>
      </c>
      <c r="C33" s="924"/>
      <c r="D33" s="280">
        <v>0</v>
      </c>
      <c r="E33" s="178">
        <v>0</v>
      </c>
      <c r="F33" s="28"/>
      <c r="G33" s="182" t="s">
        <v>134</v>
      </c>
      <c r="H33" s="280">
        <v>0</v>
      </c>
      <c r="I33" s="178">
        <v>0</v>
      </c>
      <c r="J33" s="28"/>
      <c r="K33" s="181" t="s">
        <v>134</v>
      </c>
      <c r="L33" s="280">
        <v>0</v>
      </c>
      <c r="M33" s="178">
        <v>0</v>
      </c>
      <c r="N33" s="26"/>
      <c r="O33" s="30">
        <f t="shared" si="1"/>
        <v>0</v>
      </c>
      <c r="P33" s="42">
        <f t="shared" si="4"/>
        <v>0</v>
      </c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</row>
    <row r="34" spans="1:43" s="25" customFormat="1" ht="63" customHeight="1">
      <c r="A34" s="269" t="s">
        <v>289</v>
      </c>
      <c r="B34" s="921" t="s">
        <v>290</v>
      </c>
      <c r="C34" s="922"/>
      <c r="D34" s="280">
        <v>0.33333333333333331</v>
      </c>
      <c r="E34" s="178">
        <v>0</v>
      </c>
      <c r="F34" s="28"/>
      <c r="G34" s="182" t="s">
        <v>174</v>
      </c>
      <c r="H34" s="280">
        <v>0.33333333333333331</v>
      </c>
      <c r="I34" s="178">
        <v>0</v>
      </c>
      <c r="J34" s="28"/>
      <c r="K34" s="181" t="s">
        <v>174</v>
      </c>
      <c r="L34" s="280">
        <v>0.33333333333333331</v>
      </c>
      <c r="M34" s="178">
        <v>0</v>
      </c>
      <c r="N34" s="26"/>
      <c r="O34" s="30">
        <f t="shared" si="1"/>
        <v>1</v>
      </c>
      <c r="P34" s="42">
        <f t="shared" si="4"/>
        <v>0</v>
      </c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</row>
    <row r="35" spans="1:43" s="27" customFormat="1" ht="63" customHeight="1">
      <c r="A35" s="269" t="s">
        <v>291</v>
      </c>
      <c r="B35" s="921" t="s">
        <v>292</v>
      </c>
      <c r="C35" s="922"/>
      <c r="D35" s="280">
        <v>0.33333333333333331</v>
      </c>
      <c r="E35" s="178">
        <v>0</v>
      </c>
      <c r="F35" s="28"/>
      <c r="G35" s="182" t="s">
        <v>174</v>
      </c>
      <c r="H35" s="280">
        <v>0.33333333333333331</v>
      </c>
      <c r="I35" s="178">
        <v>0</v>
      </c>
      <c r="J35" s="28"/>
      <c r="K35" s="181" t="s">
        <v>174</v>
      </c>
      <c r="L35" s="280">
        <v>0.33333333333333331</v>
      </c>
      <c r="M35" s="178">
        <v>0</v>
      </c>
      <c r="N35" s="26"/>
      <c r="O35" s="30">
        <f t="shared" si="1"/>
        <v>1</v>
      </c>
      <c r="P35" s="42">
        <f t="shared" si="4"/>
        <v>0</v>
      </c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  <c r="AF35" s="34"/>
      <c r="AG35" s="34"/>
      <c r="AH35" s="34"/>
      <c r="AI35" s="34"/>
      <c r="AJ35" s="34"/>
      <c r="AK35" s="34"/>
      <c r="AL35" s="34"/>
      <c r="AM35" s="34"/>
      <c r="AN35" s="34"/>
      <c r="AO35" s="34"/>
      <c r="AP35" s="34"/>
      <c r="AQ35" s="34"/>
    </row>
    <row r="36" spans="1:43" s="27" customFormat="1" ht="63" customHeight="1">
      <c r="A36" s="269" t="s">
        <v>293</v>
      </c>
      <c r="B36" s="921" t="s">
        <v>294</v>
      </c>
      <c r="C36" s="922"/>
      <c r="D36" s="280">
        <v>0.33333333333333331</v>
      </c>
      <c r="E36" s="178">
        <v>0</v>
      </c>
      <c r="F36" s="28"/>
      <c r="G36" s="182" t="s">
        <v>174</v>
      </c>
      <c r="H36" s="280">
        <v>0.33333333333333331</v>
      </c>
      <c r="I36" s="178">
        <v>0</v>
      </c>
      <c r="J36" s="28"/>
      <c r="K36" s="181" t="s">
        <v>174</v>
      </c>
      <c r="L36" s="280">
        <v>0.33333333333333331</v>
      </c>
      <c r="M36" s="178">
        <v>0</v>
      </c>
      <c r="N36" s="26"/>
      <c r="O36" s="30">
        <f t="shared" si="1"/>
        <v>1</v>
      </c>
      <c r="P36" s="42">
        <f t="shared" si="4"/>
        <v>0</v>
      </c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  <c r="AF36" s="34"/>
      <c r="AG36" s="34"/>
      <c r="AH36" s="34"/>
      <c r="AI36" s="34"/>
      <c r="AJ36" s="34"/>
      <c r="AK36" s="34"/>
      <c r="AL36" s="34"/>
      <c r="AM36" s="34"/>
      <c r="AN36" s="34"/>
      <c r="AO36" s="34"/>
      <c r="AP36" s="34"/>
      <c r="AQ36" s="34"/>
    </row>
    <row r="37" spans="1:43" s="27" customFormat="1" ht="63" customHeight="1">
      <c r="A37" s="269" t="s">
        <v>295</v>
      </c>
      <c r="B37" s="921" t="s">
        <v>134</v>
      </c>
      <c r="C37" s="922"/>
      <c r="D37" s="280">
        <v>0</v>
      </c>
      <c r="E37" s="178">
        <v>0</v>
      </c>
      <c r="F37" s="28"/>
      <c r="G37" s="182" t="s">
        <v>134</v>
      </c>
      <c r="H37" s="280">
        <v>0</v>
      </c>
      <c r="I37" s="178">
        <v>0</v>
      </c>
      <c r="J37" s="28"/>
      <c r="K37" s="181" t="s">
        <v>134</v>
      </c>
      <c r="L37" s="280">
        <v>0</v>
      </c>
      <c r="M37" s="178">
        <v>0</v>
      </c>
      <c r="N37" s="26"/>
      <c r="O37" s="30">
        <f t="shared" si="1"/>
        <v>0</v>
      </c>
      <c r="P37" s="42">
        <f>E37+H37+M37</f>
        <v>0</v>
      </c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  <c r="AF37" s="34"/>
      <c r="AG37" s="34"/>
      <c r="AH37" s="34"/>
      <c r="AI37" s="34"/>
      <c r="AJ37" s="34"/>
      <c r="AK37" s="34"/>
      <c r="AL37" s="34"/>
      <c r="AM37" s="34"/>
      <c r="AN37" s="34"/>
      <c r="AO37" s="34"/>
      <c r="AP37" s="34"/>
      <c r="AQ37" s="34"/>
    </row>
    <row r="38" spans="1:43" s="27" customFormat="1" ht="63" customHeight="1">
      <c r="A38" s="269" t="s">
        <v>296</v>
      </c>
      <c r="B38" s="921" t="s">
        <v>297</v>
      </c>
      <c r="C38" s="922"/>
      <c r="D38" s="280">
        <v>0.33333333333333331</v>
      </c>
      <c r="E38" s="178">
        <v>0</v>
      </c>
      <c r="F38" s="28"/>
      <c r="G38" s="182" t="s">
        <v>174</v>
      </c>
      <c r="H38" s="280">
        <v>0.33333333333333331</v>
      </c>
      <c r="I38" s="178">
        <v>0</v>
      </c>
      <c r="J38" s="28"/>
      <c r="K38" s="181" t="s">
        <v>174</v>
      </c>
      <c r="L38" s="280">
        <v>0.33333333333333331</v>
      </c>
      <c r="M38" s="178">
        <v>0</v>
      </c>
      <c r="N38" s="26"/>
      <c r="O38" s="30">
        <f t="shared" si="1"/>
        <v>1</v>
      </c>
      <c r="P38" s="42">
        <f t="shared" si="4"/>
        <v>0</v>
      </c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</row>
    <row r="39" spans="1:43" s="27" customFormat="1" ht="63" customHeight="1">
      <c r="A39" s="269" t="s">
        <v>298</v>
      </c>
      <c r="B39" s="921" t="s">
        <v>134</v>
      </c>
      <c r="C39" s="922"/>
      <c r="D39" s="280">
        <v>0</v>
      </c>
      <c r="E39" s="390">
        <v>0</v>
      </c>
      <c r="F39" s="28"/>
      <c r="G39" s="182" t="s">
        <v>134</v>
      </c>
      <c r="H39" s="391">
        <v>0</v>
      </c>
      <c r="I39" s="390">
        <v>0</v>
      </c>
      <c r="J39" s="28"/>
      <c r="K39" s="181" t="s">
        <v>134</v>
      </c>
      <c r="L39" s="391">
        <v>0</v>
      </c>
      <c r="M39" s="390">
        <v>0</v>
      </c>
      <c r="N39" s="26"/>
      <c r="O39" s="30">
        <f t="shared" si="1"/>
        <v>0</v>
      </c>
      <c r="P39" s="42">
        <f t="shared" si="4"/>
        <v>0</v>
      </c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</row>
    <row r="40" spans="1:43" s="27" customFormat="1" ht="63" customHeight="1">
      <c r="A40" s="269" t="s">
        <v>299</v>
      </c>
      <c r="B40" s="919" t="s">
        <v>688</v>
      </c>
      <c r="C40" s="920"/>
      <c r="D40" s="280">
        <v>1.0416666666666666E-2</v>
      </c>
      <c r="E40" s="390">
        <v>1</v>
      </c>
      <c r="F40" s="28"/>
      <c r="G40" s="182" t="s">
        <v>134</v>
      </c>
      <c r="H40" s="391">
        <v>0</v>
      </c>
      <c r="I40" s="390">
        <v>0</v>
      </c>
      <c r="J40" s="28"/>
      <c r="K40" s="181" t="s">
        <v>134</v>
      </c>
      <c r="L40" s="391">
        <v>0</v>
      </c>
      <c r="M40" s="390">
        <v>0</v>
      </c>
      <c r="N40" s="26"/>
      <c r="O40" s="30">
        <f t="shared" si="1"/>
        <v>1.0416666666666666E-2</v>
      </c>
      <c r="P40" s="42">
        <f t="shared" si="4"/>
        <v>1</v>
      </c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</row>
    <row r="41" spans="1:43" s="27" customFormat="1" ht="63" customHeight="1">
      <c r="A41" s="269" t="s">
        <v>300</v>
      </c>
      <c r="B41" s="919" t="s">
        <v>134</v>
      </c>
      <c r="C41" s="920"/>
      <c r="D41" s="280">
        <v>0</v>
      </c>
      <c r="E41" s="390">
        <v>0</v>
      </c>
      <c r="F41" s="28"/>
      <c r="G41" s="182" t="s">
        <v>134</v>
      </c>
      <c r="H41" s="391">
        <v>0</v>
      </c>
      <c r="I41" s="390">
        <v>0</v>
      </c>
      <c r="J41" s="28"/>
      <c r="K41" s="181" t="s">
        <v>724</v>
      </c>
      <c r="L41" s="391">
        <v>3.4722222222222224E-2</v>
      </c>
      <c r="M41" s="390">
        <v>1</v>
      </c>
      <c r="N41" s="26"/>
      <c r="O41" s="30">
        <f>SUM(D41+H41+L41)</f>
        <v>3.4722222222222224E-2</v>
      </c>
      <c r="P41" s="42">
        <f>E41+I41+M41</f>
        <v>1</v>
      </c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</row>
    <row r="42" spans="1:43" s="27" customFormat="1" ht="63" customHeight="1">
      <c r="A42" s="269" t="s">
        <v>301</v>
      </c>
      <c r="B42" s="919" t="s">
        <v>302</v>
      </c>
      <c r="C42" s="920"/>
      <c r="D42" s="280">
        <v>0.33333333333333331</v>
      </c>
      <c r="E42" s="390">
        <v>0</v>
      </c>
      <c r="F42" s="28"/>
      <c r="G42" s="182" t="s">
        <v>174</v>
      </c>
      <c r="H42" s="391">
        <v>0.33333333333333331</v>
      </c>
      <c r="I42" s="390">
        <v>0</v>
      </c>
      <c r="J42" s="28"/>
      <c r="K42" s="181" t="s">
        <v>174</v>
      </c>
      <c r="L42" s="391">
        <v>0.33333333333333331</v>
      </c>
      <c r="M42" s="390">
        <v>0</v>
      </c>
      <c r="N42" s="26"/>
      <c r="O42" s="30">
        <f t="shared" si="1"/>
        <v>1</v>
      </c>
      <c r="P42" s="42">
        <f t="shared" si="4"/>
        <v>0</v>
      </c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</row>
    <row r="43" spans="1:43" s="27" customFormat="1" ht="63" customHeight="1">
      <c r="A43" s="269" t="s">
        <v>303</v>
      </c>
      <c r="B43" s="919" t="s">
        <v>134</v>
      </c>
      <c r="C43" s="920"/>
      <c r="D43" s="280">
        <v>0</v>
      </c>
      <c r="E43" s="390">
        <v>0</v>
      </c>
      <c r="F43" s="28"/>
      <c r="G43" s="182" t="s">
        <v>134</v>
      </c>
      <c r="H43" s="391">
        <v>0</v>
      </c>
      <c r="I43" s="390">
        <v>0</v>
      </c>
      <c r="J43" s="28"/>
      <c r="K43" s="181" t="s">
        <v>134</v>
      </c>
      <c r="L43" s="391">
        <v>0</v>
      </c>
      <c r="M43" s="390">
        <v>0</v>
      </c>
      <c r="N43" s="26"/>
      <c r="O43" s="30">
        <f t="shared" si="1"/>
        <v>0</v>
      </c>
      <c r="P43" s="42">
        <f t="shared" si="4"/>
        <v>0</v>
      </c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</row>
    <row r="44" spans="1:43" s="27" customFormat="1" ht="63" customHeight="1">
      <c r="A44" s="269" t="s">
        <v>304</v>
      </c>
      <c r="B44" s="921" t="s">
        <v>134</v>
      </c>
      <c r="C44" s="922"/>
      <c r="D44" s="280">
        <v>0</v>
      </c>
      <c r="E44" s="390">
        <v>0</v>
      </c>
      <c r="F44" s="28"/>
      <c r="G44" s="182" t="s">
        <v>134</v>
      </c>
      <c r="H44" s="391">
        <v>0</v>
      </c>
      <c r="I44" s="390">
        <v>0</v>
      </c>
      <c r="J44" s="28"/>
      <c r="K44" s="181" t="s">
        <v>134</v>
      </c>
      <c r="L44" s="391">
        <v>0</v>
      </c>
      <c r="M44" s="390">
        <v>0</v>
      </c>
      <c r="N44" s="26"/>
      <c r="O44" s="30">
        <f t="shared" si="1"/>
        <v>0</v>
      </c>
      <c r="P44" s="42">
        <f t="shared" si="4"/>
        <v>0</v>
      </c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</row>
    <row r="45" spans="1:43" s="27" customFormat="1" ht="63" customHeight="1">
      <c r="A45" s="269" t="s">
        <v>305</v>
      </c>
      <c r="B45" s="921" t="s">
        <v>134</v>
      </c>
      <c r="C45" s="922"/>
      <c r="D45" s="280">
        <v>0</v>
      </c>
      <c r="E45" s="390">
        <v>0</v>
      </c>
      <c r="F45" s="28"/>
      <c r="G45" s="182" t="s">
        <v>134</v>
      </c>
      <c r="H45" s="391">
        <v>0</v>
      </c>
      <c r="I45" s="390">
        <v>0</v>
      </c>
      <c r="J45" s="28"/>
      <c r="K45" s="181" t="s">
        <v>134</v>
      </c>
      <c r="L45" s="391">
        <v>0</v>
      </c>
      <c r="M45" s="390">
        <v>0</v>
      </c>
      <c r="N45" s="26"/>
      <c r="O45" s="30">
        <f t="shared" si="1"/>
        <v>0</v>
      </c>
      <c r="P45" s="42">
        <f t="shared" si="4"/>
        <v>0</v>
      </c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  <c r="AF45" s="34"/>
      <c r="AG45" s="34"/>
      <c r="AH45" s="34"/>
      <c r="AI45" s="34"/>
      <c r="AJ45" s="34"/>
      <c r="AK45" s="34"/>
      <c r="AL45" s="34"/>
      <c r="AM45" s="34"/>
      <c r="AN45" s="34"/>
      <c r="AO45" s="34"/>
      <c r="AP45" s="34"/>
      <c r="AQ45" s="34"/>
    </row>
    <row r="46" spans="1:43" s="27" customFormat="1" ht="63" customHeight="1">
      <c r="A46" s="269" t="s">
        <v>306</v>
      </c>
      <c r="B46" s="921" t="s">
        <v>134</v>
      </c>
      <c r="C46" s="922"/>
      <c r="D46" s="280">
        <v>0</v>
      </c>
      <c r="E46" s="390">
        <v>0</v>
      </c>
      <c r="F46" s="28"/>
      <c r="G46" s="182" t="s">
        <v>134</v>
      </c>
      <c r="H46" s="391">
        <v>0</v>
      </c>
      <c r="I46" s="390">
        <v>0</v>
      </c>
      <c r="J46" s="28"/>
      <c r="K46" s="182" t="s">
        <v>134</v>
      </c>
      <c r="L46" s="391">
        <v>0</v>
      </c>
      <c r="M46" s="390">
        <v>0</v>
      </c>
      <c r="N46" s="26"/>
      <c r="O46" s="30">
        <f t="shared" si="1"/>
        <v>0</v>
      </c>
      <c r="P46" s="42">
        <f t="shared" si="4"/>
        <v>0</v>
      </c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34"/>
      <c r="AH46" s="34"/>
      <c r="AI46" s="34"/>
      <c r="AJ46" s="34"/>
      <c r="AK46" s="34"/>
      <c r="AL46" s="34"/>
      <c r="AM46" s="34"/>
      <c r="AN46" s="34"/>
      <c r="AO46" s="34"/>
      <c r="AP46" s="34"/>
      <c r="AQ46" s="34"/>
    </row>
    <row r="47" spans="1:43" ht="63" customHeight="1">
      <c r="A47" s="269" t="s">
        <v>307</v>
      </c>
      <c r="B47" s="921" t="s">
        <v>134</v>
      </c>
      <c r="C47" s="922"/>
      <c r="D47" s="280">
        <v>0</v>
      </c>
      <c r="E47" s="390">
        <v>0</v>
      </c>
      <c r="F47" s="28"/>
      <c r="G47" s="528" t="s">
        <v>134</v>
      </c>
      <c r="H47" s="391">
        <v>0</v>
      </c>
      <c r="I47" s="390">
        <v>0</v>
      </c>
      <c r="J47" s="28"/>
      <c r="K47" s="181" t="s">
        <v>134</v>
      </c>
      <c r="L47" s="391">
        <v>0</v>
      </c>
      <c r="M47" s="390">
        <v>0</v>
      </c>
      <c r="N47" s="1"/>
      <c r="O47" s="30">
        <f t="shared" si="1"/>
        <v>0</v>
      </c>
      <c r="P47" s="42">
        <f t="shared" si="4"/>
        <v>0</v>
      </c>
    </row>
    <row r="48" spans="1:43" ht="63" customHeight="1">
      <c r="A48" s="269" t="s">
        <v>308</v>
      </c>
      <c r="B48" s="921" t="s">
        <v>134</v>
      </c>
      <c r="C48" s="922"/>
      <c r="D48" s="280">
        <v>0</v>
      </c>
      <c r="E48" s="390">
        <v>0</v>
      </c>
      <c r="F48" s="28"/>
      <c r="G48" s="528" t="s">
        <v>134</v>
      </c>
      <c r="H48" s="391">
        <v>0</v>
      </c>
      <c r="I48" s="390">
        <v>0</v>
      </c>
      <c r="J48" s="28"/>
      <c r="K48" s="181" t="s">
        <v>134</v>
      </c>
      <c r="L48" s="391">
        <v>0</v>
      </c>
      <c r="M48" s="390">
        <v>0</v>
      </c>
      <c r="N48" s="1"/>
      <c r="O48" s="30">
        <f t="shared" si="1"/>
        <v>0</v>
      </c>
      <c r="P48" s="42">
        <f t="shared" si="4"/>
        <v>0</v>
      </c>
    </row>
    <row r="49" spans="1:16" ht="63" customHeight="1">
      <c r="A49" s="269" t="s">
        <v>309</v>
      </c>
      <c r="B49" s="921" t="s">
        <v>134</v>
      </c>
      <c r="C49" s="922"/>
      <c r="D49" s="280">
        <v>0</v>
      </c>
      <c r="E49" s="390">
        <v>0</v>
      </c>
      <c r="F49" s="28"/>
      <c r="G49" s="528" t="s">
        <v>134</v>
      </c>
      <c r="H49" s="391">
        <v>0</v>
      </c>
      <c r="I49" s="390">
        <v>0</v>
      </c>
      <c r="J49" s="28"/>
      <c r="K49" s="181" t="s">
        <v>134</v>
      </c>
      <c r="L49" s="391">
        <v>0</v>
      </c>
      <c r="M49" s="390">
        <v>0</v>
      </c>
      <c r="N49" s="1"/>
      <c r="O49" s="30">
        <f t="shared" si="1"/>
        <v>0</v>
      </c>
      <c r="P49" s="42">
        <f t="shared" si="4"/>
        <v>0</v>
      </c>
    </row>
    <row r="50" spans="1:16" ht="63" customHeight="1">
      <c r="A50" s="269" t="s">
        <v>310</v>
      </c>
      <c r="B50" s="925" t="s">
        <v>134</v>
      </c>
      <c r="C50" s="922"/>
      <c r="D50" s="280">
        <v>0</v>
      </c>
      <c r="E50" s="390">
        <v>0</v>
      </c>
      <c r="F50" s="28"/>
      <c r="G50" s="528" t="s">
        <v>134</v>
      </c>
      <c r="H50" s="391">
        <v>0</v>
      </c>
      <c r="I50" s="390">
        <v>0</v>
      </c>
      <c r="J50" s="28"/>
      <c r="K50" s="181" t="s">
        <v>134</v>
      </c>
      <c r="L50" s="391">
        <v>0</v>
      </c>
      <c r="M50" s="390">
        <v>0</v>
      </c>
      <c r="N50" s="1"/>
      <c r="O50" s="30">
        <f t="shared" si="1"/>
        <v>0</v>
      </c>
      <c r="P50" s="42">
        <f t="shared" si="4"/>
        <v>0</v>
      </c>
    </row>
    <row r="51" spans="1:16" ht="63" customHeight="1" thickBot="1">
      <c r="A51" s="269" t="s">
        <v>311</v>
      </c>
      <c r="B51" s="926" t="s">
        <v>134</v>
      </c>
      <c r="C51" s="927"/>
      <c r="D51" s="280">
        <v>0</v>
      </c>
      <c r="E51" s="390">
        <v>0</v>
      </c>
      <c r="F51" s="28"/>
      <c r="G51" s="528" t="s">
        <v>134</v>
      </c>
      <c r="H51" s="391">
        <v>0</v>
      </c>
      <c r="I51" s="390">
        <v>0</v>
      </c>
      <c r="J51" s="28"/>
      <c r="K51" s="181" t="s">
        <v>134</v>
      </c>
      <c r="L51" s="391">
        <v>0</v>
      </c>
      <c r="M51" s="390">
        <v>0</v>
      </c>
      <c r="N51" s="1"/>
      <c r="O51" s="30">
        <f t="shared" si="1"/>
        <v>0</v>
      </c>
      <c r="P51" s="42">
        <f t="shared" si="4"/>
        <v>0</v>
      </c>
    </row>
    <row r="52" spans="1:16" ht="61.5" customHeight="1" thickBot="1">
      <c r="A52" s="526" t="s">
        <v>178</v>
      </c>
      <c r="B52" s="936" t="str">
        <f>C5</f>
        <v>KOMBE</v>
      </c>
      <c r="C52" s="937"/>
      <c r="D52" s="530">
        <f>SUM(D31:D51)</f>
        <v>2.34375</v>
      </c>
      <c r="E52" s="539"/>
      <c r="F52" s="540"/>
      <c r="G52" s="387" t="str">
        <f>G5</f>
        <v>AMUTI</v>
      </c>
      <c r="H52" s="417">
        <f>SUM(H31:H51)</f>
        <v>2.333333333333333</v>
      </c>
      <c r="I52" s="539"/>
      <c r="J52" s="540"/>
      <c r="K52" s="262" t="str">
        <f>K5</f>
        <v>NDIRANGU</v>
      </c>
      <c r="L52" s="530">
        <f>SUM(L31:L51)</f>
        <v>2.3680555555555554</v>
      </c>
      <c r="M52" s="539"/>
      <c r="N52" s="541"/>
      <c r="O52" s="542">
        <f>SUM(O31:O51)</f>
        <v>7.0451388888888893</v>
      </c>
      <c r="P52" s="543"/>
    </row>
    <row r="53" spans="1:16" s="408" customFormat="1" ht="26.25" thickBot="1">
      <c r="B53" s="935"/>
      <c r="C53" s="935"/>
      <c r="D53" s="412"/>
      <c r="E53" s="413"/>
      <c r="F53" s="33"/>
      <c r="G53" s="414"/>
      <c r="H53" s="412"/>
      <c r="I53" s="413"/>
      <c r="J53" s="33"/>
      <c r="K53" s="243"/>
      <c r="L53" s="412"/>
      <c r="M53" s="413"/>
      <c r="O53" s="3"/>
      <c r="P53" s="3"/>
    </row>
    <row r="54" spans="1:16" s="408" customFormat="1" ht="26.25" thickBot="1">
      <c r="B54" s="935"/>
      <c r="C54" s="935"/>
      <c r="D54" s="412"/>
      <c r="E54" s="413"/>
      <c r="F54" s="33"/>
      <c r="G54" s="414"/>
      <c r="H54" s="412"/>
      <c r="I54" s="413"/>
      <c r="J54" s="33"/>
      <c r="K54" s="243"/>
      <c r="L54" s="412"/>
      <c r="O54" s="3"/>
      <c r="P54" s="3"/>
    </row>
    <row r="55" spans="1:16" s="408" customFormat="1">
      <c r="G55" s="415"/>
      <c r="K55" s="415"/>
      <c r="O55" s="3"/>
      <c r="P55" s="3"/>
    </row>
    <row r="56" spans="1:16" s="408" customFormat="1">
      <c r="G56" s="415"/>
      <c r="K56" s="415"/>
      <c r="O56" s="3"/>
      <c r="P56" s="3"/>
    </row>
    <row r="57" spans="1:16" s="408" customFormat="1">
      <c r="O57" s="3"/>
      <c r="P57" s="3"/>
    </row>
    <row r="58" spans="1:16" s="408" customFormat="1">
      <c r="O58" s="3"/>
      <c r="P58" s="3"/>
    </row>
    <row r="59" spans="1:16" s="408" customFormat="1">
      <c r="O59" s="3"/>
      <c r="P59" s="3"/>
    </row>
    <row r="60" spans="1:16" s="408" customFormat="1">
      <c r="K60" s="408" t="s">
        <v>312</v>
      </c>
      <c r="O60" s="3"/>
      <c r="P60" s="3"/>
    </row>
    <row r="61" spans="1:16" s="408" customFormat="1">
      <c r="O61" s="3"/>
      <c r="P61" s="3"/>
    </row>
    <row r="62" spans="1:16" s="408" customFormat="1">
      <c r="O62" s="3"/>
      <c r="P62" s="3"/>
    </row>
    <row r="63" spans="1:16" s="408" customFormat="1">
      <c r="O63" s="3"/>
      <c r="P63" s="3"/>
    </row>
    <row r="64" spans="1:16" s="408" customFormat="1">
      <c r="O64" s="3"/>
      <c r="P64" s="3"/>
    </row>
    <row r="65" spans="15:16" s="408" customFormat="1">
      <c r="O65" s="3"/>
      <c r="P65" s="3"/>
    </row>
    <row r="66" spans="15:16" s="408" customFormat="1">
      <c r="O66" s="3"/>
      <c r="P66" s="3"/>
    </row>
    <row r="67" spans="15:16" s="408" customFormat="1">
      <c r="O67" s="3"/>
      <c r="P67" s="3"/>
    </row>
    <row r="68" spans="15:16" s="408" customFormat="1">
      <c r="O68" s="3"/>
      <c r="P68" s="3"/>
    </row>
    <row r="69" spans="15:16" s="408" customFormat="1">
      <c r="O69" s="3"/>
      <c r="P69" s="3"/>
    </row>
    <row r="70" spans="15:16" s="408" customFormat="1">
      <c r="O70" s="3"/>
      <c r="P70" s="3"/>
    </row>
    <row r="71" spans="15:16" s="408" customFormat="1">
      <c r="O71" s="3"/>
      <c r="P71" s="3"/>
    </row>
    <row r="72" spans="15:16" s="408" customFormat="1">
      <c r="O72" s="3"/>
      <c r="P72" s="3"/>
    </row>
    <row r="73" spans="15:16" s="408" customFormat="1">
      <c r="O73" s="3"/>
      <c r="P73" s="3"/>
    </row>
    <row r="74" spans="15:16" s="408" customFormat="1">
      <c r="O74" s="3"/>
      <c r="P74" s="3"/>
    </row>
    <row r="75" spans="15:16" s="408" customFormat="1">
      <c r="O75" s="3"/>
      <c r="P75" s="3"/>
    </row>
    <row r="76" spans="15:16" s="408" customFormat="1">
      <c r="O76" s="3"/>
      <c r="P76" s="3"/>
    </row>
    <row r="77" spans="15:16" s="408" customFormat="1">
      <c r="O77" s="3"/>
      <c r="P77" s="3"/>
    </row>
    <row r="78" spans="15:16" s="408" customFormat="1">
      <c r="O78" s="3"/>
      <c r="P78" s="3"/>
    </row>
    <row r="79" spans="15:16" s="408" customFormat="1">
      <c r="O79" s="3"/>
      <c r="P79" s="3"/>
    </row>
    <row r="80" spans="15:16" s="408" customFormat="1">
      <c r="O80" s="3"/>
      <c r="P80" s="3"/>
    </row>
    <row r="81" spans="15:16" s="408" customFormat="1">
      <c r="O81" s="3"/>
      <c r="P81" s="3"/>
    </row>
    <row r="82" spans="15:16" s="408" customFormat="1">
      <c r="O82" s="3"/>
      <c r="P82" s="3"/>
    </row>
    <row r="83" spans="15:16" s="408" customFormat="1">
      <c r="O83" s="3"/>
      <c r="P83" s="3"/>
    </row>
    <row r="84" spans="15:16" s="408" customFormat="1">
      <c r="O84" s="3"/>
      <c r="P84" s="3"/>
    </row>
    <row r="85" spans="15:16" s="408" customFormat="1">
      <c r="O85" s="3"/>
      <c r="P85" s="3"/>
    </row>
    <row r="86" spans="15:16" s="408" customFormat="1">
      <c r="O86" s="3"/>
      <c r="P86" s="3"/>
    </row>
    <row r="87" spans="15:16" s="408" customFormat="1">
      <c r="O87" s="3"/>
      <c r="P87" s="3"/>
    </row>
    <row r="88" spans="15:16" s="408" customFormat="1">
      <c r="O88" s="3"/>
      <c r="P88" s="3"/>
    </row>
    <row r="89" spans="15:16" s="408" customFormat="1">
      <c r="O89" s="3"/>
      <c r="P89" s="3"/>
    </row>
    <row r="90" spans="15:16" s="408" customFormat="1">
      <c r="O90" s="3"/>
      <c r="P90" s="3"/>
    </row>
    <row r="91" spans="15:16" s="408" customFormat="1">
      <c r="O91" s="3"/>
      <c r="P91" s="3"/>
    </row>
    <row r="92" spans="15:16" s="408" customFormat="1">
      <c r="O92" s="3"/>
      <c r="P92" s="3"/>
    </row>
    <row r="93" spans="15:16" s="408" customFormat="1">
      <c r="O93" s="3"/>
      <c r="P93" s="3"/>
    </row>
    <row r="94" spans="15:16" s="408" customFormat="1">
      <c r="O94" s="3"/>
      <c r="P94" s="3"/>
    </row>
    <row r="95" spans="15:16" s="408" customFormat="1">
      <c r="O95" s="3"/>
      <c r="P95" s="3"/>
    </row>
    <row r="96" spans="15:16" s="408" customFormat="1">
      <c r="O96" s="3"/>
      <c r="P96" s="3"/>
    </row>
    <row r="97" spans="15:16" s="408" customFormat="1">
      <c r="O97" s="3"/>
      <c r="P97" s="3"/>
    </row>
    <row r="98" spans="15:16" s="408" customFormat="1">
      <c r="O98" s="3"/>
      <c r="P98" s="3"/>
    </row>
    <row r="99" spans="15:16" s="408" customFormat="1">
      <c r="O99" s="3"/>
      <c r="P99" s="3"/>
    </row>
    <row r="100" spans="15:16" s="408" customFormat="1">
      <c r="O100" s="3"/>
      <c r="P100" s="3"/>
    </row>
    <row r="101" spans="15:16" s="408" customFormat="1">
      <c r="O101" s="3"/>
      <c r="P101" s="3"/>
    </row>
    <row r="102" spans="15:16" s="408" customFormat="1">
      <c r="O102" s="3"/>
      <c r="P102" s="3"/>
    </row>
    <row r="103" spans="15:16" s="408" customFormat="1">
      <c r="O103" s="3"/>
      <c r="P103" s="3"/>
    </row>
    <row r="104" spans="15:16" s="408" customFormat="1">
      <c r="O104" s="3"/>
      <c r="P104" s="3"/>
    </row>
    <row r="105" spans="15:16" s="408" customFormat="1">
      <c r="O105" s="3"/>
      <c r="P105" s="3"/>
    </row>
    <row r="106" spans="15:16" s="408" customFormat="1">
      <c r="O106" s="3"/>
      <c r="P106" s="3"/>
    </row>
    <row r="107" spans="15:16" s="408" customFormat="1">
      <c r="O107" s="3"/>
      <c r="P107" s="3"/>
    </row>
    <row r="108" spans="15:16" s="408" customFormat="1">
      <c r="O108" s="3"/>
      <c r="P108" s="3"/>
    </row>
    <row r="109" spans="15:16" s="408" customFormat="1">
      <c r="O109" s="3"/>
      <c r="P109" s="3"/>
    </row>
    <row r="110" spans="15:16" s="408" customFormat="1">
      <c r="O110" s="3"/>
      <c r="P110" s="3"/>
    </row>
    <row r="111" spans="15:16" s="408" customFormat="1">
      <c r="O111" s="3"/>
      <c r="P111" s="3"/>
    </row>
    <row r="112" spans="15:16" s="408" customFormat="1">
      <c r="O112" s="3"/>
      <c r="P112" s="3"/>
    </row>
    <row r="113" spans="15:16" s="408" customFormat="1">
      <c r="O113" s="3"/>
      <c r="P113" s="3"/>
    </row>
    <row r="114" spans="15:16" s="408" customFormat="1">
      <c r="O114" s="3"/>
      <c r="P114" s="3"/>
    </row>
    <row r="115" spans="15:16" s="408" customFormat="1">
      <c r="O115" s="3"/>
      <c r="P115" s="3"/>
    </row>
    <row r="116" spans="15:16" s="408" customFormat="1">
      <c r="O116" s="3"/>
      <c r="P116" s="3"/>
    </row>
    <row r="117" spans="15:16" s="408" customFormat="1">
      <c r="O117" s="3"/>
      <c r="P117" s="3"/>
    </row>
    <row r="118" spans="15:16" s="408" customFormat="1">
      <c r="O118" s="3"/>
      <c r="P118" s="3"/>
    </row>
    <row r="119" spans="15:16" s="408" customFormat="1">
      <c r="O119" s="3"/>
      <c r="P119" s="3"/>
    </row>
    <row r="120" spans="15:16" s="408" customFormat="1">
      <c r="O120" s="3"/>
      <c r="P120" s="3"/>
    </row>
    <row r="121" spans="15:16" s="408" customFormat="1">
      <c r="O121" s="3"/>
      <c r="P121" s="3"/>
    </row>
    <row r="122" spans="15:16" s="408" customFormat="1">
      <c r="O122" s="3"/>
      <c r="P122" s="3"/>
    </row>
    <row r="123" spans="15:16" s="408" customFormat="1">
      <c r="O123" s="3"/>
      <c r="P123" s="3"/>
    </row>
    <row r="124" spans="15:16" s="408" customFormat="1">
      <c r="O124" s="3"/>
      <c r="P124" s="3"/>
    </row>
    <row r="125" spans="15:16" s="408" customFormat="1">
      <c r="O125" s="3"/>
      <c r="P125" s="3"/>
    </row>
    <row r="126" spans="15:16" s="408" customFormat="1">
      <c r="O126" s="3"/>
      <c r="P126" s="3"/>
    </row>
    <row r="127" spans="15:16" s="408" customFormat="1">
      <c r="O127" s="3"/>
      <c r="P127" s="3"/>
    </row>
    <row r="128" spans="15:16" s="408" customFormat="1">
      <c r="O128" s="3"/>
      <c r="P128" s="3"/>
    </row>
    <row r="129" spans="15:16" s="408" customFormat="1">
      <c r="O129" s="3"/>
      <c r="P129" s="3"/>
    </row>
    <row r="130" spans="15:16" s="408" customFormat="1">
      <c r="O130" s="3"/>
      <c r="P130" s="3"/>
    </row>
    <row r="131" spans="15:16" s="408" customFormat="1">
      <c r="O131" s="3"/>
      <c r="P131" s="3"/>
    </row>
    <row r="132" spans="15:16" s="408" customFormat="1">
      <c r="O132" s="3"/>
      <c r="P132" s="3"/>
    </row>
    <row r="133" spans="15:16" s="408" customFormat="1">
      <c r="O133" s="3"/>
      <c r="P133" s="3"/>
    </row>
    <row r="134" spans="15:16" s="408" customFormat="1">
      <c r="O134" s="3"/>
      <c r="P134" s="3"/>
    </row>
    <row r="135" spans="15:16" s="408" customFormat="1">
      <c r="O135" s="3"/>
      <c r="P135" s="3"/>
    </row>
    <row r="136" spans="15:16" s="408" customFormat="1">
      <c r="O136" s="3"/>
      <c r="P136" s="3"/>
    </row>
    <row r="137" spans="15:16" s="408" customFormat="1">
      <c r="O137" s="3"/>
      <c r="P137" s="3"/>
    </row>
    <row r="138" spans="15:16" s="408" customFormat="1">
      <c r="O138" s="3"/>
      <c r="P138" s="3"/>
    </row>
    <row r="139" spans="15:16" s="408" customFormat="1">
      <c r="O139" s="3"/>
      <c r="P139" s="3"/>
    </row>
    <row r="140" spans="15:16" s="408" customFormat="1">
      <c r="O140" s="3"/>
      <c r="P140" s="3"/>
    </row>
    <row r="141" spans="15:16" s="408" customFormat="1">
      <c r="O141" s="3"/>
      <c r="P141" s="3"/>
    </row>
    <row r="142" spans="15:16" s="408" customFormat="1">
      <c r="O142" s="3"/>
      <c r="P142" s="3"/>
    </row>
    <row r="143" spans="15:16" s="408" customFormat="1">
      <c r="O143" s="3"/>
      <c r="P143" s="3"/>
    </row>
    <row r="144" spans="15:16" s="408" customFormat="1">
      <c r="O144" s="3"/>
      <c r="P144" s="3"/>
    </row>
    <row r="145" spans="15:16" s="408" customFormat="1">
      <c r="O145" s="3"/>
      <c r="P145" s="3"/>
    </row>
    <row r="146" spans="15:16" s="408" customFormat="1">
      <c r="O146" s="3"/>
      <c r="P146" s="3"/>
    </row>
    <row r="147" spans="15:16" s="408" customFormat="1">
      <c r="O147" s="3"/>
      <c r="P147" s="3"/>
    </row>
    <row r="148" spans="15:16" s="408" customFormat="1">
      <c r="O148" s="3"/>
      <c r="P148" s="3"/>
    </row>
    <row r="149" spans="15:16" s="408" customFormat="1">
      <c r="O149" s="3"/>
      <c r="P149" s="3"/>
    </row>
    <row r="150" spans="15:16" s="408" customFormat="1">
      <c r="O150" s="3"/>
      <c r="P150" s="3"/>
    </row>
    <row r="151" spans="15:16" s="408" customFormat="1">
      <c r="O151" s="3"/>
      <c r="P151" s="3"/>
    </row>
    <row r="152" spans="15:16" s="408" customFormat="1">
      <c r="O152" s="3"/>
      <c r="P152" s="3"/>
    </row>
    <row r="153" spans="15:16" s="408" customFormat="1">
      <c r="O153" s="3"/>
      <c r="P153" s="3"/>
    </row>
    <row r="154" spans="15:16" s="408" customFormat="1">
      <c r="O154" s="3"/>
      <c r="P154" s="3"/>
    </row>
    <row r="155" spans="15:16" s="408" customFormat="1">
      <c r="O155" s="3"/>
      <c r="P155" s="3"/>
    </row>
    <row r="156" spans="15:16" s="408" customFormat="1">
      <c r="O156" s="3"/>
      <c r="P156" s="3"/>
    </row>
    <row r="157" spans="15:16" s="408" customFormat="1">
      <c r="O157" s="3"/>
      <c r="P157" s="3"/>
    </row>
    <row r="158" spans="15:16" s="408" customFormat="1">
      <c r="O158" s="3"/>
      <c r="P158" s="3"/>
    </row>
    <row r="159" spans="15:16" s="408" customFormat="1">
      <c r="O159" s="3"/>
      <c r="P159" s="3"/>
    </row>
    <row r="160" spans="15:16" s="408" customFormat="1">
      <c r="O160" s="3"/>
      <c r="P160" s="3"/>
    </row>
    <row r="161" spans="15:16" s="408" customFormat="1">
      <c r="O161" s="3"/>
      <c r="P161" s="3"/>
    </row>
    <row r="162" spans="15:16" s="408" customFormat="1">
      <c r="O162" s="3"/>
      <c r="P162" s="3"/>
    </row>
    <row r="163" spans="15:16" s="408" customFormat="1">
      <c r="O163" s="3"/>
      <c r="P163" s="3"/>
    </row>
    <row r="164" spans="15:16" s="408" customFormat="1">
      <c r="O164" s="3"/>
      <c r="P164" s="3"/>
    </row>
    <row r="165" spans="15:16" s="408" customFormat="1">
      <c r="O165" s="3"/>
      <c r="P165" s="3"/>
    </row>
    <row r="166" spans="15:16" s="408" customFormat="1">
      <c r="O166" s="3"/>
      <c r="P166" s="3"/>
    </row>
    <row r="167" spans="15:16" s="408" customFormat="1">
      <c r="O167" s="3"/>
      <c r="P167" s="3"/>
    </row>
    <row r="168" spans="15:16" s="408" customFormat="1">
      <c r="O168" s="3"/>
      <c r="P168" s="3"/>
    </row>
    <row r="169" spans="15:16" s="408" customFormat="1">
      <c r="O169" s="3"/>
      <c r="P169" s="3"/>
    </row>
    <row r="170" spans="15:16" s="408" customFormat="1">
      <c r="O170" s="3"/>
      <c r="P170" s="3"/>
    </row>
    <row r="171" spans="15:16" s="408" customFormat="1">
      <c r="O171" s="3"/>
      <c r="P171" s="3"/>
    </row>
    <row r="172" spans="15:16" s="408" customFormat="1">
      <c r="O172" s="3"/>
      <c r="P172" s="3"/>
    </row>
    <row r="173" spans="15:16" s="408" customFormat="1">
      <c r="O173" s="3"/>
      <c r="P173" s="3"/>
    </row>
    <row r="174" spans="15:16" s="408" customFormat="1">
      <c r="O174" s="3"/>
      <c r="P174" s="3"/>
    </row>
    <row r="175" spans="15:16" s="408" customFormat="1">
      <c r="O175" s="3"/>
      <c r="P175" s="3"/>
    </row>
    <row r="176" spans="15:16" s="408" customFormat="1">
      <c r="O176" s="3"/>
      <c r="P176" s="3"/>
    </row>
    <row r="177" spans="15:16" s="408" customFormat="1">
      <c r="O177" s="3"/>
      <c r="P177" s="3"/>
    </row>
    <row r="178" spans="15:16" s="408" customFormat="1">
      <c r="O178" s="3"/>
      <c r="P178" s="3"/>
    </row>
    <row r="179" spans="15:16" s="408" customFormat="1">
      <c r="O179" s="3"/>
      <c r="P179" s="3"/>
    </row>
    <row r="180" spans="15:16" s="408" customFormat="1">
      <c r="O180" s="3"/>
      <c r="P180" s="3"/>
    </row>
    <row r="181" spans="15:16" s="408" customFormat="1">
      <c r="O181" s="3"/>
      <c r="P181" s="3"/>
    </row>
    <row r="182" spans="15:16" s="408" customFormat="1">
      <c r="O182" s="3"/>
      <c r="P182" s="3"/>
    </row>
    <row r="183" spans="15:16" s="408" customFormat="1">
      <c r="O183" s="3"/>
      <c r="P183" s="3"/>
    </row>
    <row r="184" spans="15:16" s="408" customFormat="1">
      <c r="O184" s="3"/>
      <c r="P184" s="3"/>
    </row>
    <row r="185" spans="15:16" s="408" customFormat="1">
      <c r="O185" s="3"/>
      <c r="P185" s="3"/>
    </row>
    <row r="186" spans="15:16" s="408" customFormat="1">
      <c r="O186" s="3"/>
      <c r="P186" s="3"/>
    </row>
    <row r="187" spans="15:16" s="408" customFormat="1">
      <c r="O187" s="3"/>
      <c r="P187" s="3"/>
    </row>
    <row r="188" spans="15:16" s="408" customFormat="1">
      <c r="O188" s="3"/>
      <c r="P188" s="3"/>
    </row>
    <row r="189" spans="15:16" s="408" customFormat="1">
      <c r="O189" s="3"/>
      <c r="P189" s="3"/>
    </row>
    <row r="190" spans="15:16" s="408" customFormat="1">
      <c r="O190" s="3"/>
      <c r="P190" s="3"/>
    </row>
    <row r="191" spans="15:16" s="408" customFormat="1">
      <c r="O191" s="3"/>
      <c r="P191" s="3"/>
    </row>
    <row r="192" spans="15:16" s="408" customFormat="1">
      <c r="O192" s="3"/>
      <c r="P192" s="3"/>
    </row>
    <row r="193" spans="15:16" s="408" customFormat="1">
      <c r="O193" s="3"/>
      <c r="P193" s="3"/>
    </row>
    <row r="194" spans="15:16" s="408" customFormat="1">
      <c r="O194" s="3"/>
      <c r="P194" s="3"/>
    </row>
    <row r="195" spans="15:16" s="408" customFormat="1">
      <c r="O195" s="3"/>
      <c r="P195" s="3"/>
    </row>
    <row r="196" spans="15:16" s="408" customFormat="1">
      <c r="O196" s="3"/>
      <c r="P196" s="3"/>
    </row>
    <row r="197" spans="15:16" s="408" customFormat="1">
      <c r="O197" s="3"/>
      <c r="P197" s="3"/>
    </row>
    <row r="198" spans="15:16" s="408" customFormat="1">
      <c r="O198" s="3"/>
      <c r="P198" s="3"/>
    </row>
    <row r="199" spans="15:16" s="408" customFormat="1">
      <c r="O199" s="3"/>
      <c r="P199" s="3"/>
    </row>
    <row r="200" spans="15:16" s="408" customFormat="1">
      <c r="O200" s="3"/>
      <c r="P200" s="3"/>
    </row>
    <row r="201" spans="15:16" s="408" customFormat="1">
      <c r="O201" s="3"/>
      <c r="P201" s="3"/>
    </row>
    <row r="202" spans="15:16" s="408" customFormat="1">
      <c r="O202" s="3"/>
      <c r="P202" s="3"/>
    </row>
    <row r="203" spans="15:16" s="408" customFormat="1">
      <c r="O203" s="3"/>
      <c r="P203" s="3"/>
    </row>
    <row r="204" spans="15:16" s="408" customFormat="1">
      <c r="O204" s="3"/>
      <c r="P204" s="3"/>
    </row>
    <row r="205" spans="15:16" s="408" customFormat="1">
      <c r="O205" s="3"/>
      <c r="P205" s="3"/>
    </row>
    <row r="206" spans="15:16" s="408" customFormat="1">
      <c r="O206" s="3"/>
      <c r="P206" s="3"/>
    </row>
    <row r="207" spans="15:16" s="408" customFormat="1">
      <c r="O207" s="3"/>
      <c r="P207" s="3"/>
    </row>
    <row r="208" spans="15:16" s="408" customFormat="1">
      <c r="O208" s="3"/>
      <c r="P208" s="3"/>
    </row>
    <row r="209" spans="15:16" s="408" customFormat="1">
      <c r="O209" s="3"/>
      <c r="P209" s="3"/>
    </row>
    <row r="210" spans="15:16" s="408" customFormat="1">
      <c r="O210" s="3"/>
      <c r="P210" s="3"/>
    </row>
    <row r="211" spans="15:16" s="408" customFormat="1">
      <c r="O211" s="3"/>
      <c r="P211" s="3"/>
    </row>
    <row r="212" spans="15:16" s="408" customFormat="1">
      <c r="O212" s="3"/>
      <c r="P212" s="3"/>
    </row>
    <row r="213" spans="15:16" s="408" customFormat="1">
      <c r="O213" s="3"/>
      <c r="P213" s="3"/>
    </row>
    <row r="214" spans="15:16" s="408" customFormat="1">
      <c r="O214" s="3"/>
      <c r="P214" s="3"/>
    </row>
    <row r="215" spans="15:16" s="408" customFormat="1">
      <c r="O215" s="3"/>
      <c r="P215" s="3"/>
    </row>
    <row r="216" spans="15:16" s="408" customFormat="1">
      <c r="O216" s="3"/>
      <c r="P216" s="3"/>
    </row>
    <row r="217" spans="15:16" s="408" customFormat="1">
      <c r="O217" s="3"/>
      <c r="P217" s="3"/>
    </row>
    <row r="218" spans="15:16" s="408" customFormat="1">
      <c r="O218" s="3"/>
      <c r="P218" s="3"/>
    </row>
    <row r="219" spans="15:16" s="408" customFormat="1">
      <c r="O219" s="3"/>
      <c r="P219" s="3"/>
    </row>
    <row r="220" spans="15:16" s="408" customFormat="1">
      <c r="O220" s="3"/>
      <c r="P220" s="3"/>
    </row>
    <row r="221" spans="15:16" s="408" customFormat="1">
      <c r="O221" s="3"/>
      <c r="P221" s="3"/>
    </row>
    <row r="222" spans="15:16" s="408" customFormat="1">
      <c r="O222" s="3"/>
      <c r="P222" s="3"/>
    </row>
    <row r="223" spans="15:16" s="408" customFormat="1">
      <c r="O223" s="3"/>
      <c r="P223" s="3"/>
    </row>
    <row r="224" spans="15:16" s="408" customFormat="1">
      <c r="O224" s="3"/>
      <c r="P224" s="3"/>
    </row>
    <row r="225" spans="15:16" s="408" customFormat="1">
      <c r="O225" s="3"/>
      <c r="P225" s="3"/>
    </row>
    <row r="226" spans="15:16" s="408" customFormat="1">
      <c r="O226" s="3"/>
      <c r="P226" s="3"/>
    </row>
    <row r="227" spans="15:16" s="408" customFormat="1">
      <c r="O227" s="3"/>
      <c r="P227" s="3"/>
    </row>
    <row r="228" spans="15:16" s="408" customFormat="1">
      <c r="O228" s="3"/>
      <c r="P228" s="3"/>
    </row>
    <row r="229" spans="15:16" s="408" customFormat="1">
      <c r="O229" s="3"/>
      <c r="P229" s="3"/>
    </row>
    <row r="230" spans="15:16" s="408" customFormat="1">
      <c r="O230" s="3"/>
      <c r="P230" s="3"/>
    </row>
    <row r="231" spans="15:16" s="408" customFormat="1">
      <c r="O231" s="3"/>
      <c r="P231" s="3"/>
    </row>
    <row r="232" spans="15:16" s="408" customFormat="1">
      <c r="O232" s="3"/>
      <c r="P232" s="3"/>
    </row>
    <row r="233" spans="15:16" s="408" customFormat="1">
      <c r="O233" s="3"/>
      <c r="P233" s="3"/>
    </row>
    <row r="234" spans="15:16" s="408" customFormat="1">
      <c r="O234" s="3"/>
      <c r="P234" s="3"/>
    </row>
    <row r="235" spans="15:16" s="408" customFormat="1">
      <c r="O235" s="3"/>
      <c r="P235" s="3"/>
    </row>
    <row r="236" spans="15:16" s="408" customFormat="1">
      <c r="O236" s="3"/>
      <c r="P236" s="3"/>
    </row>
    <row r="237" spans="15:16" s="408" customFormat="1">
      <c r="O237" s="3"/>
      <c r="P237" s="3"/>
    </row>
    <row r="238" spans="15:16" s="408" customFormat="1">
      <c r="O238" s="3"/>
      <c r="P238" s="3"/>
    </row>
    <row r="239" spans="15:16" s="408" customFormat="1">
      <c r="O239" s="3"/>
      <c r="P239" s="3"/>
    </row>
    <row r="240" spans="15:16" s="408" customFormat="1">
      <c r="O240" s="3"/>
      <c r="P240" s="3"/>
    </row>
    <row r="241" spans="15:16" s="408" customFormat="1">
      <c r="O241" s="3"/>
      <c r="P241" s="3"/>
    </row>
    <row r="242" spans="15:16" s="408" customFormat="1">
      <c r="O242" s="3"/>
      <c r="P242" s="3"/>
    </row>
    <row r="243" spans="15:16" s="408" customFormat="1">
      <c r="O243" s="3"/>
      <c r="P243" s="3"/>
    </row>
    <row r="244" spans="15:16" s="408" customFormat="1">
      <c r="O244" s="3"/>
      <c r="P244" s="3"/>
    </row>
    <row r="245" spans="15:16" s="408" customFormat="1">
      <c r="O245" s="3"/>
      <c r="P245" s="3"/>
    </row>
    <row r="246" spans="15:16" s="408" customFormat="1">
      <c r="O246" s="3"/>
      <c r="P246" s="3"/>
    </row>
    <row r="247" spans="15:16" s="408" customFormat="1">
      <c r="O247" s="3"/>
      <c r="P247" s="3"/>
    </row>
    <row r="248" spans="15:16" s="408" customFormat="1">
      <c r="O248" s="3"/>
      <c r="P248" s="3"/>
    </row>
    <row r="249" spans="15:16" s="408" customFormat="1">
      <c r="O249" s="3"/>
      <c r="P249" s="3"/>
    </row>
    <row r="250" spans="15:16" s="408" customFormat="1">
      <c r="O250" s="3"/>
      <c r="P250" s="3"/>
    </row>
    <row r="251" spans="15:16" s="408" customFormat="1">
      <c r="O251" s="3"/>
      <c r="P251" s="3"/>
    </row>
    <row r="252" spans="15:16" s="408" customFormat="1">
      <c r="O252" s="3"/>
      <c r="P252" s="3"/>
    </row>
    <row r="253" spans="15:16" s="408" customFormat="1">
      <c r="O253" s="3"/>
      <c r="P253" s="3"/>
    </row>
    <row r="254" spans="15:16" s="408" customFormat="1">
      <c r="O254" s="3"/>
      <c r="P254" s="3"/>
    </row>
    <row r="255" spans="15:16" s="408" customFormat="1">
      <c r="O255" s="3"/>
      <c r="P255" s="3"/>
    </row>
    <row r="256" spans="15:16" s="408" customFormat="1">
      <c r="O256" s="3"/>
      <c r="P256" s="3"/>
    </row>
    <row r="257" spans="15:16" s="408" customFormat="1">
      <c r="O257" s="3"/>
      <c r="P257" s="3"/>
    </row>
    <row r="258" spans="15:16" s="408" customFormat="1">
      <c r="O258" s="3"/>
      <c r="P258" s="3"/>
    </row>
    <row r="259" spans="15:16" s="408" customFormat="1">
      <c r="O259" s="3"/>
      <c r="P259" s="3"/>
    </row>
    <row r="260" spans="15:16" s="408" customFormat="1">
      <c r="O260" s="3"/>
      <c r="P260" s="3"/>
    </row>
    <row r="261" spans="15:16" s="408" customFormat="1">
      <c r="O261" s="3"/>
      <c r="P261" s="3"/>
    </row>
    <row r="262" spans="15:16" s="408" customFormat="1">
      <c r="O262" s="3"/>
      <c r="P262" s="3"/>
    </row>
    <row r="263" spans="15:16" s="408" customFormat="1">
      <c r="O263" s="3"/>
      <c r="P263" s="3"/>
    </row>
    <row r="264" spans="15:16" s="408" customFormat="1">
      <c r="O264" s="3"/>
      <c r="P264" s="3"/>
    </row>
    <row r="265" spans="15:16" s="408" customFormat="1">
      <c r="O265" s="3"/>
      <c r="P265" s="3"/>
    </row>
    <row r="266" spans="15:16" s="408" customFormat="1">
      <c r="O266" s="3"/>
      <c r="P266" s="3"/>
    </row>
    <row r="267" spans="15:16" s="408" customFormat="1">
      <c r="O267" s="3"/>
      <c r="P267" s="3"/>
    </row>
    <row r="268" spans="15:16" s="408" customFormat="1">
      <c r="O268" s="3"/>
      <c r="P268" s="3"/>
    </row>
    <row r="269" spans="15:16" s="408" customFormat="1">
      <c r="O269" s="3"/>
      <c r="P269" s="3"/>
    </row>
    <row r="270" spans="15:16" s="408" customFormat="1">
      <c r="O270" s="3"/>
      <c r="P270" s="3"/>
    </row>
    <row r="271" spans="15:16" s="408" customFormat="1">
      <c r="O271" s="3"/>
      <c r="P271" s="3"/>
    </row>
    <row r="272" spans="15:16" s="408" customFormat="1">
      <c r="O272" s="3"/>
      <c r="P272" s="3"/>
    </row>
    <row r="273" spans="15:16" s="408" customFormat="1">
      <c r="O273" s="3"/>
      <c r="P273" s="3"/>
    </row>
    <row r="274" spans="15:16" s="408" customFormat="1">
      <c r="O274" s="3"/>
      <c r="P274" s="3"/>
    </row>
    <row r="275" spans="15:16" s="408" customFormat="1">
      <c r="O275" s="3"/>
      <c r="P275" s="3"/>
    </row>
    <row r="276" spans="15:16" s="408" customFormat="1">
      <c r="O276" s="3"/>
      <c r="P276" s="3"/>
    </row>
    <row r="277" spans="15:16" s="408" customFormat="1">
      <c r="O277" s="3"/>
      <c r="P277" s="3"/>
    </row>
    <row r="278" spans="15:16" s="408" customFormat="1">
      <c r="O278" s="3"/>
      <c r="P278" s="3"/>
    </row>
    <row r="279" spans="15:16" s="408" customFormat="1">
      <c r="O279" s="3"/>
      <c r="P279" s="3"/>
    </row>
    <row r="280" spans="15:16" s="408" customFormat="1">
      <c r="O280" s="3"/>
      <c r="P280" s="3"/>
    </row>
    <row r="281" spans="15:16" s="408" customFormat="1">
      <c r="O281" s="3"/>
      <c r="P281" s="3"/>
    </row>
    <row r="282" spans="15:16" s="408" customFormat="1">
      <c r="O282" s="3"/>
      <c r="P282" s="3"/>
    </row>
    <row r="283" spans="15:16" s="408" customFormat="1">
      <c r="O283" s="3"/>
      <c r="P283" s="3"/>
    </row>
    <row r="284" spans="15:16" s="408" customFormat="1">
      <c r="O284" s="3"/>
      <c r="P284" s="3"/>
    </row>
    <row r="285" spans="15:16" s="408" customFormat="1">
      <c r="O285" s="3"/>
      <c r="P285" s="3"/>
    </row>
    <row r="286" spans="15:16" s="408" customFormat="1">
      <c r="O286" s="3"/>
      <c r="P286" s="3"/>
    </row>
    <row r="287" spans="15:16" s="408" customFormat="1">
      <c r="O287" s="3"/>
      <c r="P287" s="3"/>
    </row>
    <row r="288" spans="15:16" s="408" customFormat="1">
      <c r="O288" s="3"/>
      <c r="P288" s="3"/>
    </row>
    <row r="289" spans="15:16" s="408" customFormat="1">
      <c r="O289" s="3"/>
      <c r="P289" s="3"/>
    </row>
    <row r="290" spans="15:16" s="408" customFormat="1">
      <c r="O290" s="3"/>
      <c r="P290" s="3"/>
    </row>
    <row r="291" spans="15:16" s="408" customFormat="1">
      <c r="O291" s="3"/>
      <c r="P291" s="3"/>
    </row>
    <row r="292" spans="15:16" s="408" customFormat="1">
      <c r="O292" s="3"/>
      <c r="P292" s="3"/>
    </row>
    <row r="293" spans="15:16" s="408" customFormat="1">
      <c r="O293" s="3"/>
      <c r="P293" s="3"/>
    </row>
    <row r="294" spans="15:16" s="408" customFormat="1">
      <c r="O294" s="3"/>
      <c r="P294" s="3"/>
    </row>
    <row r="295" spans="15:16" s="408" customFormat="1">
      <c r="O295" s="3"/>
      <c r="P295" s="3"/>
    </row>
    <row r="296" spans="15:16" s="408" customFormat="1">
      <c r="O296" s="3"/>
      <c r="P296" s="3"/>
    </row>
    <row r="297" spans="15:16" s="408" customFormat="1">
      <c r="O297" s="3"/>
      <c r="P297" s="3"/>
    </row>
    <row r="298" spans="15:16" s="408" customFormat="1">
      <c r="O298" s="3"/>
      <c r="P298" s="3"/>
    </row>
    <row r="299" spans="15:16" s="408" customFormat="1">
      <c r="O299" s="3"/>
      <c r="P299" s="3"/>
    </row>
    <row r="300" spans="15:16" s="408" customFormat="1">
      <c r="O300" s="3"/>
      <c r="P300" s="3"/>
    </row>
    <row r="301" spans="15:16" s="408" customFormat="1">
      <c r="O301" s="3"/>
      <c r="P301" s="3"/>
    </row>
    <row r="302" spans="15:16" s="408" customFormat="1">
      <c r="O302" s="3"/>
      <c r="P302" s="3"/>
    </row>
    <row r="303" spans="15:16" s="408" customFormat="1">
      <c r="O303" s="3"/>
      <c r="P303" s="3"/>
    </row>
    <row r="304" spans="15:16" s="408" customFormat="1">
      <c r="O304" s="3"/>
      <c r="P304" s="3"/>
    </row>
    <row r="305" spans="15:16" s="408" customFormat="1">
      <c r="O305" s="3"/>
      <c r="P305" s="3"/>
    </row>
    <row r="306" spans="15:16" s="408" customFormat="1">
      <c r="O306" s="3"/>
      <c r="P306" s="3"/>
    </row>
    <row r="307" spans="15:16" s="408" customFormat="1">
      <c r="O307" s="3"/>
      <c r="P307" s="3"/>
    </row>
    <row r="308" spans="15:16" s="408" customFormat="1">
      <c r="O308" s="3"/>
      <c r="P308" s="3"/>
    </row>
    <row r="309" spans="15:16" s="408" customFormat="1">
      <c r="O309" s="3"/>
      <c r="P309" s="3"/>
    </row>
    <row r="310" spans="15:16" s="408" customFormat="1">
      <c r="O310" s="3"/>
      <c r="P310" s="3"/>
    </row>
    <row r="311" spans="15:16" s="408" customFormat="1">
      <c r="O311" s="3"/>
      <c r="P311" s="3"/>
    </row>
    <row r="312" spans="15:16" s="408" customFormat="1">
      <c r="O312" s="3"/>
      <c r="P312" s="3"/>
    </row>
    <row r="313" spans="15:16" s="408" customFormat="1">
      <c r="O313" s="3"/>
      <c r="P313" s="3"/>
    </row>
    <row r="314" spans="15:16" s="408" customFormat="1">
      <c r="O314" s="3"/>
      <c r="P314" s="3"/>
    </row>
    <row r="315" spans="15:16" s="408" customFormat="1">
      <c r="O315" s="3"/>
      <c r="P315" s="3"/>
    </row>
    <row r="316" spans="15:16" s="408" customFormat="1">
      <c r="O316" s="3"/>
      <c r="P316" s="3"/>
    </row>
    <row r="317" spans="15:16" s="408" customFormat="1">
      <c r="O317" s="3"/>
      <c r="P317" s="3"/>
    </row>
    <row r="318" spans="15:16" s="408" customFormat="1">
      <c r="O318" s="3"/>
      <c r="P318" s="3"/>
    </row>
    <row r="319" spans="15:16" s="408" customFormat="1">
      <c r="O319" s="3"/>
      <c r="P319" s="3"/>
    </row>
    <row r="320" spans="15:16" s="408" customFormat="1">
      <c r="O320" s="3"/>
      <c r="P320" s="3"/>
    </row>
    <row r="321" spans="15:16" s="408" customFormat="1">
      <c r="O321" s="3"/>
      <c r="P321" s="3"/>
    </row>
    <row r="322" spans="15:16" s="408" customFormat="1">
      <c r="O322" s="3"/>
      <c r="P322" s="3"/>
    </row>
    <row r="323" spans="15:16" s="408" customFormat="1">
      <c r="O323" s="3"/>
      <c r="P323" s="3"/>
    </row>
    <row r="324" spans="15:16" s="408" customFormat="1">
      <c r="O324" s="3"/>
      <c r="P324" s="3"/>
    </row>
    <row r="325" spans="15:16" s="408" customFormat="1">
      <c r="O325" s="3"/>
      <c r="P325" s="3"/>
    </row>
    <row r="326" spans="15:16" s="408" customFormat="1">
      <c r="O326" s="3"/>
      <c r="P326" s="3"/>
    </row>
    <row r="327" spans="15:16" s="408" customFormat="1">
      <c r="O327" s="3"/>
      <c r="P327" s="3"/>
    </row>
    <row r="328" spans="15:16" s="408" customFormat="1">
      <c r="O328" s="3"/>
      <c r="P328" s="3"/>
    </row>
    <row r="329" spans="15:16" s="408" customFormat="1">
      <c r="O329" s="3"/>
      <c r="P329" s="3"/>
    </row>
    <row r="330" spans="15:16" s="408" customFormat="1">
      <c r="O330" s="3"/>
      <c r="P330" s="3"/>
    </row>
    <row r="331" spans="15:16" s="408" customFormat="1">
      <c r="O331" s="3"/>
      <c r="P331" s="3"/>
    </row>
    <row r="332" spans="15:16" s="408" customFormat="1">
      <c r="O332" s="3"/>
      <c r="P332" s="3"/>
    </row>
    <row r="333" spans="15:16" s="408" customFormat="1">
      <c r="O333" s="3"/>
      <c r="P333" s="3"/>
    </row>
    <row r="334" spans="15:16" s="408" customFormat="1">
      <c r="O334" s="3"/>
      <c r="P334" s="3"/>
    </row>
    <row r="335" spans="15:16" s="408" customFormat="1">
      <c r="O335" s="3"/>
      <c r="P335" s="3"/>
    </row>
    <row r="336" spans="15:16" s="408" customFormat="1">
      <c r="O336" s="3"/>
      <c r="P336" s="3"/>
    </row>
    <row r="337" spans="15:16" s="408" customFormat="1">
      <c r="O337" s="3"/>
      <c r="P337" s="3"/>
    </row>
    <row r="338" spans="15:16" s="408" customFormat="1">
      <c r="O338" s="3"/>
      <c r="P338" s="3"/>
    </row>
    <row r="339" spans="15:16" s="408" customFormat="1">
      <c r="O339" s="3"/>
      <c r="P339" s="3"/>
    </row>
    <row r="340" spans="15:16" s="408" customFormat="1">
      <c r="O340" s="3"/>
      <c r="P340" s="3"/>
    </row>
    <row r="341" spans="15:16" s="408" customFormat="1">
      <c r="O341" s="3"/>
      <c r="P341" s="3"/>
    </row>
    <row r="342" spans="15:16" s="408" customFormat="1">
      <c r="O342" s="3"/>
      <c r="P342" s="3"/>
    </row>
    <row r="343" spans="15:16" s="408" customFormat="1">
      <c r="O343" s="3"/>
      <c r="P343" s="3"/>
    </row>
    <row r="344" spans="15:16" s="408" customFormat="1">
      <c r="O344" s="3"/>
      <c r="P344" s="3"/>
    </row>
    <row r="345" spans="15:16" s="408" customFormat="1">
      <c r="O345" s="3"/>
      <c r="P345" s="3"/>
    </row>
    <row r="346" spans="15:16" s="408" customFormat="1">
      <c r="O346" s="3"/>
      <c r="P346" s="3"/>
    </row>
    <row r="347" spans="15:16" s="408" customFormat="1">
      <c r="O347" s="3"/>
      <c r="P347" s="3"/>
    </row>
    <row r="348" spans="15:16" s="408" customFormat="1">
      <c r="O348" s="3"/>
      <c r="P348" s="3"/>
    </row>
    <row r="349" spans="15:16" s="408" customFormat="1">
      <c r="O349" s="3"/>
      <c r="P349" s="3"/>
    </row>
    <row r="350" spans="15:16" s="408" customFormat="1">
      <c r="O350" s="3"/>
      <c r="P350" s="3"/>
    </row>
    <row r="351" spans="15:16" s="408" customFormat="1">
      <c r="O351" s="3"/>
      <c r="P351" s="3"/>
    </row>
    <row r="352" spans="15:16" s="408" customFormat="1">
      <c r="O352" s="3"/>
      <c r="P352" s="3"/>
    </row>
    <row r="353" spans="15:16" s="408" customFormat="1">
      <c r="O353" s="3"/>
      <c r="P353" s="3"/>
    </row>
    <row r="354" spans="15:16" s="408" customFormat="1">
      <c r="O354" s="3"/>
      <c r="P354" s="3"/>
    </row>
    <row r="355" spans="15:16" s="408" customFormat="1">
      <c r="O355" s="3"/>
      <c r="P355" s="3"/>
    </row>
    <row r="356" spans="15:16" s="408" customFormat="1">
      <c r="O356" s="3"/>
      <c r="P356" s="3"/>
    </row>
    <row r="357" spans="15:16" s="408" customFormat="1">
      <c r="O357" s="3"/>
      <c r="P357" s="3"/>
    </row>
    <row r="358" spans="15:16" s="408" customFormat="1">
      <c r="O358" s="3"/>
      <c r="P358" s="3"/>
    </row>
    <row r="359" spans="15:16" s="408" customFormat="1">
      <c r="O359" s="3"/>
      <c r="P359" s="3"/>
    </row>
    <row r="360" spans="15:16" s="408" customFormat="1">
      <c r="O360" s="3"/>
      <c r="P360" s="3"/>
    </row>
    <row r="361" spans="15:16" s="408" customFormat="1">
      <c r="O361" s="3"/>
      <c r="P361" s="3"/>
    </row>
    <row r="362" spans="15:16" s="408" customFormat="1">
      <c r="O362" s="3"/>
      <c r="P362" s="3"/>
    </row>
    <row r="363" spans="15:16" s="408" customFormat="1">
      <c r="O363" s="3"/>
      <c r="P363" s="3"/>
    </row>
    <row r="364" spans="15:16" s="408" customFormat="1">
      <c r="O364" s="3"/>
      <c r="P364" s="3"/>
    </row>
    <row r="365" spans="15:16" s="408" customFormat="1">
      <c r="O365" s="3"/>
      <c r="P365" s="3"/>
    </row>
    <row r="366" spans="15:16" s="408" customFormat="1">
      <c r="O366" s="3"/>
      <c r="P366" s="3"/>
    </row>
    <row r="367" spans="15:16" s="408" customFormat="1">
      <c r="O367" s="3"/>
      <c r="P367" s="3"/>
    </row>
    <row r="368" spans="15:16" s="408" customFormat="1">
      <c r="O368" s="3"/>
      <c r="P368" s="3"/>
    </row>
    <row r="369" spans="15:16" s="408" customFormat="1">
      <c r="O369" s="3"/>
      <c r="P369" s="3"/>
    </row>
    <row r="370" spans="15:16" s="408" customFormat="1">
      <c r="O370" s="3"/>
      <c r="P370" s="3"/>
    </row>
    <row r="371" spans="15:16" s="408" customFormat="1">
      <c r="O371" s="3"/>
      <c r="P371" s="3"/>
    </row>
    <row r="372" spans="15:16" s="408" customFormat="1">
      <c r="O372" s="3"/>
      <c r="P372" s="3"/>
    </row>
    <row r="373" spans="15:16" s="408" customFormat="1">
      <c r="O373" s="3"/>
      <c r="P373" s="3"/>
    </row>
    <row r="374" spans="15:16" s="408" customFormat="1">
      <c r="O374" s="3"/>
      <c r="P374" s="3"/>
    </row>
    <row r="375" spans="15:16" s="408" customFormat="1">
      <c r="O375" s="3"/>
      <c r="P375" s="3"/>
    </row>
    <row r="376" spans="15:16" s="408" customFormat="1">
      <c r="O376" s="3"/>
      <c r="P376" s="3"/>
    </row>
    <row r="377" spans="15:16" s="408" customFormat="1">
      <c r="O377" s="3"/>
      <c r="P377" s="3"/>
    </row>
    <row r="378" spans="15:16" s="408" customFormat="1">
      <c r="O378" s="3"/>
      <c r="P378" s="3"/>
    </row>
    <row r="379" spans="15:16" s="408" customFormat="1">
      <c r="O379" s="3"/>
      <c r="P379" s="3"/>
    </row>
    <row r="380" spans="15:16" s="408" customFormat="1">
      <c r="O380" s="3"/>
      <c r="P380" s="3"/>
    </row>
    <row r="381" spans="15:16" s="408" customFormat="1">
      <c r="O381" s="3"/>
      <c r="P381" s="3"/>
    </row>
    <row r="382" spans="15:16" s="408" customFormat="1">
      <c r="O382" s="3"/>
      <c r="P382" s="3"/>
    </row>
    <row r="383" spans="15:16" s="408" customFormat="1">
      <c r="O383" s="3"/>
      <c r="P383" s="3"/>
    </row>
    <row r="384" spans="15:16" s="408" customFormat="1">
      <c r="O384" s="3"/>
      <c r="P384" s="3"/>
    </row>
    <row r="385" spans="15:16" s="408" customFormat="1">
      <c r="O385" s="3"/>
      <c r="P385" s="3"/>
    </row>
    <row r="386" spans="15:16" s="408" customFormat="1">
      <c r="O386" s="3"/>
      <c r="P386" s="3"/>
    </row>
    <row r="387" spans="15:16" s="408" customFormat="1">
      <c r="O387" s="3"/>
      <c r="P387" s="3"/>
    </row>
    <row r="388" spans="15:16" s="408" customFormat="1">
      <c r="O388" s="3"/>
      <c r="P388" s="3"/>
    </row>
    <row r="389" spans="15:16" s="408" customFormat="1">
      <c r="O389" s="3"/>
      <c r="P389" s="3"/>
    </row>
    <row r="390" spans="15:16" s="408" customFormat="1">
      <c r="O390" s="3"/>
      <c r="P390" s="3"/>
    </row>
    <row r="391" spans="15:16" s="408" customFormat="1">
      <c r="O391" s="3"/>
      <c r="P391" s="3"/>
    </row>
    <row r="392" spans="15:16" s="408" customFormat="1">
      <c r="O392" s="3"/>
      <c r="P392" s="3"/>
    </row>
    <row r="393" spans="15:16" s="408" customFormat="1">
      <c r="O393" s="3"/>
      <c r="P393" s="3"/>
    </row>
    <row r="394" spans="15:16" s="408" customFormat="1">
      <c r="O394" s="3"/>
      <c r="P394" s="3"/>
    </row>
    <row r="395" spans="15:16" s="408" customFormat="1">
      <c r="O395" s="3"/>
      <c r="P395" s="3"/>
    </row>
    <row r="396" spans="15:16" s="408" customFormat="1">
      <c r="O396" s="3"/>
      <c r="P396" s="3"/>
    </row>
    <row r="397" spans="15:16" s="408" customFormat="1">
      <c r="O397" s="3"/>
      <c r="P397" s="3"/>
    </row>
    <row r="398" spans="15:16" s="408" customFormat="1">
      <c r="O398" s="3"/>
      <c r="P398" s="3"/>
    </row>
    <row r="399" spans="15:16" s="408" customFormat="1">
      <c r="O399" s="3"/>
      <c r="P399" s="3"/>
    </row>
    <row r="400" spans="15:16" s="408" customFormat="1">
      <c r="O400" s="3"/>
      <c r="P400" s="3"/>
    </row>
    <row r="401" spans="15:16" s="408" customFormat="1">
      <c r="O401" s="3"/>
      <c r="P401" s="3"/>
    </row>
    <row r="402" spans="15:16" s="408" customFormat="1">
      <c r="O402" s="3"/>
      <c r="P402" s="3"/>
    </row>
    <row r="403" spans="15:16" s="408" customFormat="1">
      <c r="O403" s="3"/>
      <c r="P403" s="3"/>
    </row>
    <row r="404" spans="15:16" s="408" customFormat="1">
      <c r="O404" s="3"/>
      <c r="P404" s="3"/>
    </row>
    <row r="405" spans="15:16" s="408" customFormat="1">
      <c r="O405" s="3"/>
      <c r="P405" s="3"/>
    </row>
    <row r="406" spans="15:16" s="408" customFormat="1">
      <c r="O406" s="3"/>
      <c r="P406" s="3"/>
    </row>
    <row r="407" spans="15:16" s="408" customFormat="1">
      <c r="O407" s="3"/>
      <c r="P407" s="3"/>
    </row>
    <row r="408" spans="15:16" s="408" customFormat="1">
      <c r="O408" s="3"/>
      <c r="P408" s="3"/>
    </row>
    <row r="409" spans="15:16" s="408" customFormat="1">
      <c r="O409" s="3"/>
      <c r="P409" s="3"/>
    </row>
    <row r="410" spans="15:16" s="408" customFormat="1">
      <c r="O410" s="3"/>
      <c r="P410" s="3"/>
    </row>
    <row r="411" spans="15:16" s="408" customFormat="1">
      <c r="O411" s="3"/>
      <c r="P411" s="3"/>
    </row>
    <row r="412" spans="15:16" s="408" customFormat="1">
      <c r="O412" s="3"/>
      <c r="P412" s="3"/>
    </row>
    <row r="413" spans="15:16" s="408" customFormat="1">
      <c r="O413" s="3"/>
      <c r="P413" s="3"/>
    </row>
    <row r="414" spans="15:16" s="408" customFormat="1">
      <c r="O414" s="3"/>
      <c r="P414" s="3"/>
    </row>
    <row r="415" spans="15:16" s="408" customFormat="1">
      <c r="O415" s="3"/>
      <c r="P415" s="3"/>
    </row>
    <row r="416" spans="15:16" s="408" customFormat="1">
      <c r="O416" s="3"/>
      <c r="P416" s="3"/>
    </row>
    <row r="417" spans="15:16" s="408" customFormat="1">
      <c r="O417" s="3"/>
      <c r="P417" s="3"/>
    </row>
    <row r="418" spans="15:16" s="408" customFormat="1">
      <c r="O418" s="3"/>
      <c r="P418" s="3"/>
    </row>
    <row r="419" spans="15:16" s="408" customFormat="1">
      <c r="O419" s="3"/>
      <c r="P419" s="3"/>
    </row>
    <row r="420" spans="15:16" s="408" customFormat="1">
      <c r="O420" s="3"/>
      <c r="P420" s="3"/>
    </row>
    <row r="421" spans="15:16" s="408" customFormat="1">
      <c r="O421" s="3"/>
      <c r="P421" s="3"/>
    </row>
    <row r="422" spans="15:16" s="408" customFormat="1">
      <c r="O422" s="3"/>
      <c r="P422" s="3"/>
    </row>
    <row r="423" spans="15:16" s="408" customFormat="1">
      <c r="O423" s="3"/>
      <c r="P423" s="3"/>
    </row>
    <row r="424" spans="15:16" s="408" customFormat="1">
      <c r="O424" s="3"/>
      <c r="P424" s="3"/>
    </row>
    <row r="425" spans="15:16" s="408" customFormat="1">
      <c r="O425" s="3"/>
      <c r="P425" s="3"/>
    </row>
    <row r="426" spans="15:16" s="408" customFormat="1">
      <c r="O426" s="3"/>
      <c r="P426" s="3"/>
    </row>
    <row r="427" spans="15:16" s="408" customFormat="1">
      <c r="O427" s="3"/>
      <c r="P427" s="3"/>
    </row>
    <row r="428" spans="15:16" s="408" customFormat="1">
      <c r="O428" s="3"/>
      <c r="P428" s="3"/>
    </row>
    <row r="429" spans="15:16" s="408" customFormat="1">
      <c r="O429" s="3"/>
      <c r="P429" s="3"/>
    </row>
    <row r="430" spans="15:16" s="408" customFormat="1">
      <c r="O430" s="3"/>
      <c r="P430" s="3"/>
    </row>
    <row r="431" spans="15:16" s="408" customFormat="1">
      <c r="O431" s="3"/>
      <c r="P431" s="3"/>
    </row>
    <row r="432" spans="15:16" s="408" customFormat="1">
      <c r="O432" s="3"/>
      <c r="P432" s="3"/>
    </row>
    <row r="433" spans="15:16" s="408" customFormat="1">
      <c r="O433" s="3"/>
      <c r="P433" s="3"/>
    </row>
    <row r="434" spans="15:16" s="408" customFormat="1">
      <c r="O434" s="3"/>
      <c r="P434" s="3"/>
    </row>
    <row r="435" spans="15:16" s="408" customFormat="1">
      <c r="O435" s="3"/>
      <c r="P435" s="3"/>
    </row>
    <row r="436" spans="15:16" s="408" customFormat="1">
      <c r="O436" s="3"/>
      <c r="P436" s="3"/>
    </row>
    <row r="437" spans="15:16" s="408" customFormat="1">
      <c r="O437" s="3"/>
      <c r="P437" s="3"/>
    </row>
    <row r="438" spans="15:16" s="408" customFormat="1">
      <c r="O438" s="3"/>
      <c r="P438" s="3"/>
    </row>
    <row r="439" spans="15:16" s="408" customFormat="1">
      <c r="O439" s="3"/>
      <c r="P439" s="3"/>
    </row>
    <row r="440" spans="15:16" s="408" customFormat="1">
      <c r="O440" s="3"/>
      <c r="P440" s="3"/>
    </row>
    <row r="441" spans="15:16" s="408" customFormat="1">
      <c r="O441" s="3"/>
      <c r="P441" s="3"/>
    </row>
    <row r="442" spans="15:16" s="408" customFormat="1">
      <c r="O442" s="3"/>
      <c r="P442" s="3"/>
    </row>
    <row r="443" spans="15:16" s="408" customFormat="1">
      <c r="O443" s="3"/>
      <c r="P443" s="3"/>
    </row>
    <row r="444" spans="15:16" s="408" customFormat="1">
      <c r="O444" s="3"/>
      <c r="P444" s="3"/>
    </row>
    <row r="445" spans="15:16" s="408" customFormat="1">
      <c r="O445" s="3"/>
      <c r="P445" s="3"/>
    </row>
    <row r="446" spans="15:16" s="408" customFormat="1">
      <c r="O446" s="3"/>
      <c r="P446" s="3"/>
    </row>
    <row r="447" spans="15:16" s="408" customFormat="1">
      <c r="O447" s="3"/>
      <c r="P447" s="3"/>
    </row>
    <row r="448" spans="15:16" s="408" customFormat="1">
      <c r="O448" s="3"/>
      <c r="P448" s="3"/>
    </row>
    <row r="449" spans="15:16" s="408" customFormat="1">
      <c r="O449" s="3"/>
      <c r="P449" s="3"/>
    </row>
    <row r="450" spans="15:16" s="408" customFormat="1">
      <c r="O450" s="3"/>
      <c r="P450" s="3"/>
    </row>
    <row r="451" spans="15:16" s="408" customFormat="1">
      <c r="O451" s="3"/>
      <c r="P451" s="3"/>
    </row>
    <row r="452" spans="15:16" s="408" customFormat="1">
      <c r="O452" s="3"/>
      <c r="P452" s="3"/>
    </row>
    <row r="453" spans="15:16" s="408" customFormat="1">
      <c r="O453" s="3"/>
      <c r="P453" s="3"/>
    </row>
    <row r="454" spans="15:16" s="408" customFormat="1">
      <c r="O454" s="3"/>
      <c r="P454" s="3"/>
    </row>
    <row r="455" spans="15:16" s="408" customFormat="1">
      <c r="O455" s="3"/>
      <c r="P455" s="3"/>
    </row>
    <row r="456" spans="15:16" s="408" customFormat="1">
      <c r="O456" s="3"/>
      <c r="P456" s="3"/>
    </row>
    <row r="457" spans="15:16" s="408" customFormat="1">
      <c r="O457" s="3"/>
      <c r="P457" s="3"/>
    </row>
    <row r="458" spans="15:16" s="408" customFormat="1">
      <c r="O458" s="3"/>
      <c r="P458" s="3"/>
    </row>
    <row r="459" spans="15:16" s="408" customFormat="1">
      <c r="O459" s="3"/>
      <c r="P459" s="3"/>
    </row>
    <row r="460" spans="15:16" s="408" customFormat="1">
      <c r="O460" s="3"/>
      <c r="P460" s="3"/>
    </row>
    <row r="461" spans="15:16" s="408" customFormat="1">
      <c r="O461" s="3"/>
      <c r="P461" s="3"/>
    </row>
    <row r="462" spans="15:16" s="408" customFormat="1">
      <c r="O462" s="3"/>
      <c r="P462" s="3"/>
    </row>
    <row r="463" spans="15:16" s="408" customFormat="1">
      <c r="O463" s="3"/>
      <c r="P463" s="3"/>
    </row>
    <row r="464" spans="15:16" s="408" customFormat="1">
      <c r="O464" s="3"/>
      <c r="P464" s="3"/>
    </row>
    <row r="465" spans="15:16" s="408" customFormat="1">
      <c r="O465" s="3"/>
      <c r="P465" s="3"/>
    </row>
    <row r="466" spans="15:16" s="408" customFormat="1">
      <c r="O466" s="3"/>
      <c r="P466" s="3"/>
    </row>
    <row r="467" spans="15:16" s="408" customFormat="1">
      <c r="O467" s="3"/>
      <c r="P467" s="3"/>
    </row>
    <row r="468" spans="15:16" s="408" customFormat="1">
      <c r="O468" s="3"/>
      <c r="P468" s="3"/>
    </row>
    <row r="469" spans="15:16" s="408" customFormat="1">
      <c r="O469" s="3"/>
      <c r="P469" s="3"/>
    </row>
    <row r="470" spans="15:16" s="408" customFormat="1">
      <c r="O470" s="3"/>
      <c r="P470" s="3"/>
    </row>
    <row r="471" spans="15:16" s="408" customFormat="1">
      <c r="O471" s="3"/>
      <c r="P471" s="3"/>
    </row>
    <row r="472" spans="15:16" s="408" customFormat="1">
      <c r="O472" s="3"/>
      <c r="P472" s="3"/>
    </row>
    <row r="473" spans="15:16" s="408" customFormat="1">
      <c r="O473" s="3"/>
      <c r="P473" s="3"/>
    </row>
    <row r="474" spans="15:16" s="408" customFormat="1">
      <c r="O474" s="3"/>
      <c r="P474" s="3"/>
    </row>
    <row r="475" spans="15:16" s="408" customFormat="1">
      <c r="O475" s="3"/>
      <c r="P475" s="3"/>
    </row>
    <row r="476" spans="15:16" s="408" customFormat="1">
      <c r="O476" s="3"/>
      <c r="P476" s="3"/>
    </row>
    <row r="477" spans="15:16" s="408" customFormat="1">
      <c r="O477" s="3"/>
      <c r="P477" s="3"/>
    </row>
    <row r="478" spans="15:16" s="408" customFormat="1">
      <c r="O478" s="3"/>
      <c r="P478" s="3"/>
    </row>
    <row r="479" spans="15:16" s="408" customFormat="1">
      <c r="O479" s="3"/>
      <c r="P479" s="3"/>
    </row>
    <row r="480" spans="15:16" s="408" customFormat="1">
      <c r="O480" s="3"/>
      <c r="P480" s="3"/>
    </row>
    <row r="481" spans="15:16" s="408" customFormat="1">
      <c r="O481" s="3"/>
      <c r="P481" s="3"/>
    </row>
    <row r="482" spans="15:16" s="408" customFormat="1">
      <c r="O482" s="3"/>
      <c r="P482" s="3"/>
    </row>
    <row r="483" spans="15:16" s="408" customFormat="1">
      <c r="O483" s="3"/>
      <c r="P483" s="3"/>
    </row>
    <row r="484" spans="15:16" s="408" customFormat="1">
      <c r="O484" s="3"/>
      <c r="P484" s="3"/>
    </row>
    <row r="485" spans="15:16" s="408" customFormat="1">
      <c r="O485" s="3"/>
      <c r="P485" s="3"/>
    </row>
    <row r="486" spans="15:16" s="408" customFormat="1">
      <c r="O486" s="3"/>
      <c r="P486" s="3"/>
    </row>
    <row r="487" spans="15:16" s="408" customFormat="1">
      <c r="O487" s="3"/>
      <c r="P487" s="3"/>
    </row>
    <row r="488" spans="15:16" s="408" customFormat="1">
      <c r="O488" s="3"/>
      <c r="P488" s="3"/>
    </row>
    <row r="489" spans="15:16" s="408" customFormat="1">
      <c r="O489" s="3"/>
      <c r="P489" s="3"/>
    </row>
    <row r="490" spans="15:16" s="408" customFormat="1">
      <c r="O490" s="3"/>
      <c r="P490" s="3"/>
    </row>
    <row r="491" spans="15:16" s="408" customFormat="1">
      <c r="O491" s="3"/>
      <c r="P491" s="3"/>
    </row>
    <row r="492" spans="15:16" s="408" customFormat="1">
      <c r="O492" s="3"/>
      <c r="P492" s="3"/>
    </row>
    <row r="493" spans="15:16" s="408" customFormat="1">
      <c r="O493" s="3"/>
      <c r="P493" s="3"/>
    </row>
    <row r="494" spans="15:16" s="408" customFormat="1">
      <c r="O494" s="3"/>
      <c r="P494" s="3"/>
    </row>
    <row r="495" spans="15:16" s="408" customFormat="1">
      <c r="O495" s="3"/>
      <c r="P495" s="3"/>
    </row>
    <row r="496" spans="15:16" s="408" customFormat="1">
      <c r="O496" s="3"/>
      <c r="P496" s="3"/>
    </row>
    <row r="497" spans="15:16" s="408" customFormat="1">
      <c r="O497" s="3"/>
      <c r="P497" s="3"/>
    </row>
    <row r="498" spans="15:16" s="408" customFormat="1">
      <c r="O498" s="3"/>
      <c r="P498" s="3"/>
    </row>
    <row r="499" spans="15:16" s="408" customFormat="1">
      <c r="O499" s="3"/>
      <c r="P499" s="3"/>
    </row>
    <row r="500" spans="15:16" s="408" customFormat="1">
      <c r="O500" s="3"/>
      <c r="P500" s="3"/>
    </row>
    <row r="501" spans="15:16" s="408" customFormat="1">
      <c r="O501" s="3"/>
      <c r="P501" s="3"/>
    </row>
    <row r="502" spans="15:16" s="408" customFormat="1">
      <c r="O502" s="3"/>
      <c r="P502" s="3"/>
    </row>
    <row r="503" spans="15:16" s="408" customFormat="1">
      <c r="O503" s="3"/>
      <c r="P503" s="3"/>
    </row>
    <row r="504" spans="15:16" s="408" customFormat="1">
      <c r="O504" s="3"/>
      <c r="P504" s="3"/>
    </row>
    <row r="505" spans="15:16" s="408" customFormat="1">
      <c r="O505" s="3"/>
      <c r="P505" s="3"/>
    </row>
    <row r="506" spans="15:16" s="408" customFormat="1">
      <c r="O506" s="3"/>
      <c r="P506" s="3"/>
    </row>
    <row r="507" spans="15:16" s="408" customFormat="1">
      <c r="O507" s="3"/>
      <c r="P507" s="3"/>
    </row>
    <row r="508" spans="15:16" s="408" customFormat="1">
      <c r="O508" s="3"/>
      <c r="P508" s="3"/>
    </row>
    <row r="509" spans="15:16" s="408" customFormat="1">
      <c r="O509" s="3"/>
      <c r="P509" s="3"/>
    </row>
    <row r="510" spans="15:16" s="408" customFormat="1">
      <c r="O510" s="3"/>
      <c r="P510" s="3"/>
    </row>
    <row r="511" spans="15:16" s="408" customFormat="1">
      <c r="O511" s="3"/>
      <c r="P511" s="3"/>
    </row>
    <row r="512" spans="15:16" s="408" customFormat="1">
      <c r="O512" s="3"/>
      <c r="P512" s="3"/>
    </row>
    <row r="513" spans="15:16" s="408" customFormat="1">
      <c r="O513" s="3"/>
      <c r="P513" s="3"/>
    </row>
    <row r="514" spans="15:16" s="408" customFormat="1">
      <c r="O514" s="3"/>
      <c r="P514" s="3"/>
    </row>
    <row r="515" spans="15:16" s="408" customFormat="1">
      <c r="O515" s="3"/>
      <c r="P515" s="3"/>
    </row>
    <row r="516" spans="15:16" s="408" customFormat="1">
      <c r="O516" s="3"/>
      <c r="P516" s="3"/>
    </row>
    <row r="517" spans="15:16" s="408" customFormat="1">
      <c r="O517" s="3"/>
      <c r="P517" s="3"/>
    </row>
    <row r="518" spans="15:16" s="408" customFormat="1">
      <c r="O518" s="3"/>
      <c r="P518" s="3"/>
    </row>
    <row r="519" spans="15:16" s="408" customFormat="1">
      <c r="O519" s="3"/>
      <c r="P519" s="3"/>
    </row>
    <row r="520" spans="15:16" s="408" customFormat="1">
      <c r="O520" s="3"/>
      <c r="P520" s="3"/>
    </row>
    <row r="521" spans="15:16" s="408" customFormat="1">
      <c r="O521" s="3"/>
      <c r="P521" s="3"/>
    </row>
    <row r="522" spans="15:16" s="408" customFormat="1">
      <c r="O522" s="3"/>
      <c r="P522" s="3"/>
    </row>
    <row r="523" spans="15:16" s="408" customFormat="1">
      <c r="O523" s="3"/>
      <c r="P523" s="3"/>
    </row>
    <row r="524" spans="15:16" s="408" customFormat="1">
      <c r="O524" s="3"/>
      <c r="P524" s="3"/>
    </row>
    <row r="525" spans="15:16" s="408" customFormat="1">
      <c r="O525" s="3"/>
      <c r="P525" s="3"/>
    </row>
    <row r="526" spans="15:16" s="408" customFormat="1">
      <c r="O526" s="3"/>
      <c r="P526" s="3"/>
    </row>
    <row r="527" spans="15:16" s="408" customFormat="1">
      <c r="O527" s="3"/>
      <c r="P527" s="3"/>
    </row>
    <row r="528" spans="15:16" s="408" customFormat="1">
      <c r="O528" s="3"/>
      <c r="P528" s="3"/>
    </row>
    <row r="529" spans="15:16" s="408" customFormat="1">
      <c r="O529" s="3"/>
      <c r="P529" s="3"/>
    </row>
    <row r="530" spans="15:16" s="408" customFormat="1">
      <c r="O530" s="3"/>
      <c r="P530" s="3"/>
    </row>
    <row r="531" spans="15:16" s="408" customFormat="1">
      <c r="O531" s="3"/>
      <c r="P531" s="3"/>
    </row>
    <row r="532" spans="15:16" s="408" customFormat="1">
      <c r="O532" s="3"/>
      <c r="P532" s="3"/>
    </row>
    <row r="533" spans="15:16" s="408" customFormat="1">
      <c r="O533" s="3"/>
      <c r="P533" s="3"/>
    </row>
    <row r="534" spans="15:16" s="408" customFormat="1">
      <c r="O534" s="3"/>
      <c r="P534" s="3"/>
    </row>
    <row r="535" spans="15:16" s="408" customFormat="1">
      <c r="O535" s="3"/>
      <c r="P535" s="3"/>
    </row>
    <row r="536" spans="15:16" s="408" customFormat="1">
      <c r="O536" s="3"/>
      <c r="P536" s="3"/>
    </row>
    <row r="537" spans="15:16" s="408" customFormat="1">
      <c r="O537" s="3"/>
      <c r="P537" s="3"/>
    </row>
    <row r="538" spans="15:16" s="408" customFormat="1">
      <c r="O538" s="3"/>
      <c r="P538" s="3"/>
    </row>
    <row r="539" spans="15:16" s="408" customFormat="1">
      <c r="O539" s="3"/>
      <c r="P539" s="3"/>
    </row>
    <row r="540" spans="15:16" s="408" customFormat="1">
      <c r="O540" s="3"/>
      <c r="P540" s="3"/>
    </row>
    <row r="541" spans="15:16" s="408" customFormat="1">
      <c r="O541" s="3"/>
      <c r="P541" s="3"/>
    </row>
    <row r="542" spans="15:16" s="408" customFormat="1">
      <c r="O542" s="3"/>
      <c r="P542" s="3"/>
    </row>
    <row r="543" spans="15:16" s="408" customFormat="1">
      <c r="O543" s="3"/>
      <c r="P543" s="3"/>
    </row>
    <row r="544" spans="15:16" s="408" customFormat="1">
      <c r="O544" s="3"/>
      <c r="P544" s="3"/>
    </row>
    <row r="545" spans="15:16" s="408" customFormat="1">
      <c r="O545" s="3"/>
      <c r="P545" s="3"/>
    </row>
    <row r="546" spans="15:16" s="408" customFormat="1">
      <c r="O546" s="3"/>
      <c r="P546" s="3"/>
    </row>
    <row r="547" spans="15:16" s="408" customFormat="1">
      <c r="O547" s="3"/>
      <c r="P547" s="3"/>
    </row>
    <row r="548" spans="15:16" s="408" customFormat="1">
      <c r="O548" s="3"/>
      <c r="P548" s="3"/>
    </row>
    <row r="549" spans="15:16" s="408" customFormat="1">
      <c r="O549" s="3"/>
      <c r="P549" s="3"/>
    </row>
    <row r="550" spans="15:16" s="408" customFormat="1">
      <c r="O550" s="3"/>
      <c r="P550" s="3"/>
    </row>
    <row r="551" spans="15:16" s="408" customFormat="1">
      <c r="O551" s="3"/>
      <c r="P551" s="3"/>
    </row>
    <row r="552" spans="15:16" s="408" customFormat="1">
      <c r="O552" s="3"/>
      <c r="P552" s="3"/>
    </row>
    <row r="553" spans="15:16" s="408" customFormat="1">
      <c r="O553" s="3"/>
      <c r="P553" s="3"/>
    </row>
    <row r="554" spans="15:16" s="408" customFormat="1">
      <c r="O554" s="3"/>
      <c r="P554" s="3"/>
    </row>
    <row r="555" spans="15:16" s="408" customFormat="1">
      <c r="O555" s="3"/>
      <c r="P555" s="3"/>
    </row>
    <row r="556" spans="15:16" s="408" customFormat="1">
      <c r="O556" s="3"/>
      <c r="P556" s="3"/>
    </row>
    <row r="557" spans="15:16" s="408" customFormat="1">
      <c r="O557" s="3"/>
      <c r="P557" s="3"/>
    </row>
    <row r="558" spans="15:16" s="408" customFormat="1">
      <c r="O558" s="3"/>
      <c r="P558" s="3"/>
    </row>
    <row r="559" spans="15:16" s="408" customFormat="1">
      <c r="O559" s="3"/>
      <c r="P559" s="3"/>
    </row>
    <row r="560" spans="15:16" s="408" customFormat="1">
      <c r="O560" s="3"/>
      <c r="P560" s="3"/>
    </row>
    <row r="561" spans="15:16" s="408" customFormat="1">
      <c r="O561" s="3"/>
      <c r="P561" s="3"/>
    </row>
    <row r="562" spans="15:16" s="408" customFormat="1">
      <c r="O562" s="3"/>
      <c r="P562" s="3"/>
    </row>
    <row r="563" spans="15:16" s="408" customFormat="1">
      <c r="O563" s="3"/>
      <c r="P563" s="3"/>
    </row>
    <row r="564" spans="15:16" s="408" customFormat="1">
      <c r="O564" s="3"/>
      <c r="P564" s="3"/>
    </row>
    <row r="565" spans="15:16" s="408" customFormat="1">
      <c r="O565" s="3"/>
      <c r="P565" s="3"/>
    </row>
    <row r="566" spans="15:16" s="408" customFormat="1">
      <c r="O566" s="3"/>
      <c r="P566" s="3"/>
    </row>
    <row r="567" spans="15:16" s="408" customFormat="1">
      <c r="O567" s="3"/>
      <c r="P567" s="3"/>
    </row>
    <row r="568" spans="15:16" s="408" customFormat="1">
      <c r="O568" s="3"/>
      <c r="P568" s="3"/>
    </row>
    <row r="569" spans="15:16" s="408" customFormat="1">
      <c r="O569" s="3"/>
      <c r="P569" s="3"/>
    </row>
    <row r="570" spans="15:16" s="408" customFormat="1">
      <c r="O570" s="3"/>
      <c r="P570" s="3"/>
    </row>
    <row r="571" spans="15:16" s="408" customFormat="1">
      <c r="O571" s="3"/>
      <c r="P571" s="3"/>
    </row>
    <row r="572" spans="15:16" s="408" customFormat="1">
      <c r="O572" s="3"/>
      <c r="P572" s="3"/>
    </row>
    <row r="573" spans="15:16" s="408" customFormat="1">
      <c r="O573" s="3"/>
      <c r="P573" s="3"/>
    </row>
    <row r="574" spans="15:16" s="408" customFormat="1">
      <c r="O574" s="3"/>
      <c r="P574" s="3"/>
    </row>
    <row r="575" spans="15:16" s="408" customFormat="1">
      <c r="O575" s="3"/>
      <c r="P575" s="3"/>
    </row>
    <row r="576" spans="15:16" s="408" customFormat="1">
      <c r="O576" s="3"/>
      <c r="P576" s="3"/>
    </row>
    <row r="577" spans="15:16" s="408" customFormat="1">
      <c r="O577" s="3"/>
      <c r="P577" s="3"/>
    </row>
    <row r="578" spans="15:16" s="408" customFormat="1">
      <c r="O578" s="3"/>
      <c r="P578" s="3"/>
    </row>
    <row r="579" spans="15:16" s="408" customFormat="1">
      <c r="O579" s="3"/>
      <c r="P579" s="3"/>
    </row>
    <row r="580" spans="15:16" s="408" customFormat="1">
      <c r="O580" s="3"/>
      <c r="P580" s="3"/>
    </row>
    <row r="581" spans="15:16" s="408" customFormat="1">
      <c r="O581" s="3"/>
      <c r="P581" s="3"/>
    </row>
    <row r="582" spans="15:16" s="408" customFormat="1">
      <c r="O582" s="3"/>
      <c r="P582" s="3"/>
    </row>
    <row r="583" spans="15:16" s="408" customFormat="1">
      <c r="O583" s="3"/>
      <c r="P583" s="3"/>
    </row>
    <row r="584" spans="15:16" s="408" customFormat="1">
      <c r="O584" s="3"/>
      <c r="P584" s="3"/>
    </row>
    <row r="585" spans="15:16" s="408" customFormat="1">
      <c r="O585" s="3"/>
      <c r="P585" s="3"/>
    </row>
    <row r="586" spans="15:16" s="408" customFormat="1">
      <c r="O586" s="3"/>
      <c r="P586" s="3"/>
    </row>
    <row r="587" spans="15:16" s="408" customFormat="1">
      <c r="O587" s="3"/>
      <c r="P587" s="3"/>
    </row>
    <row r="588" spans="15:16" s="408" customFormat="1">
      <c r="O588" s="3"/>
      <c r="P588" s="3"/>
    </row>
    <row r="589" spans="15:16" s="408" customFormat="1">
      <c r="O589" s="3"/>
      <c r="P589" s="3"/>
    </row>
    <row r="590" spans="15:16" s="408" customFormat="1">
      <c r="O590" s="3"/>
      <c r="P590" s="3"/>
    </row>
    <row r="591" spans="15:16" s="408" customFormat="1">
      <c r="O591" s="3"/>
      <c r="P591" s="3"/>
    </row>
    <row r="592" spans="15:16" s="408" customFormat="1">
      <c r="O592" s="3"/>
      <c r="P592" s="3"/>
    </row>
    <row r="593" spans="15:16" s="408" customFormat="1">
      <c r="O593" s="3"/>
      <c r="P593" s="3"/>
    </row>
    <row r="594" spans="15:16" s="408" customFormat="1">
      <c r="O594" s="3"/>
      <c r="P594" s="3"/>
    </row>
    <row r="595" spans="15:16" s="408" customFormat="1">
      <c r="O595" s="3"/>
      <c r="P595" s="3"/>
    </row>
    <row r="596" spans="15:16" s="408" customFormat="1">
      <c r="O596" s="3"/>
      <c r="P596" s="3"/>
    </row>
    <row r="597" spans="15:16" s="408" customFormat="1">
      <c r="O597" s="3"/>
      <c r="P597" s="3"/>
    </row>
    <row r="598" spans="15:16" s="408" customFormat="1">
      <c r="O598" s="3"/>
      <c r="P598" s="3"/>
    </row>
    <row r="599" spans="15:16" s="408" customFormat="1">
      <c r="O599" s="3"/>
      <c r="P599" s="3"/>
    </row>
    <row r="600" spans="15:16" s="408" customFormat="1">
      <c r="O600" s="3"/>
      <c r="P600" s="3"/>
    </row>
    <row r="601" spans="15:16" s="408" customFormat="1">
      <c r="O601" s="3"/>
      <c r="P601" s="3"/>
    </row>
    <row r="602" spans="15:16" s="408" customFormat="1">
      <c r="O602" s="3"/>
      <c r="P602" s="3"/>
    </row>
    <row r="603" spans="15:16" s="408" customFormat="1">
      <c r="O603" s="3"/>
      <c r="P603" s="3"/>
    </row>
    <row r="604" spans="15:16" s="408" customFormat="1">
      <c r="O604" s="3"/>
      <c r="P604" s="3"/>
    </row>
    <row r="605" spans="15:16" s="408" customFormat="1">
      <c r="O605" s="3"/>
      <c r="P605" s="3"/>
    </row>
    <row r="606" spans="15:16" s="408" customFormat="1">
      <c r="O606" s="3"/>
      <c r="P606" s="3"/>
    </row>
    <row r="607" spans="15:16" s="408" customFormat="1">
      <c r="O607" s="3"/>
      <c r="P607" s="3"/>
    </row>
    <row r="608" spans="15:16" s="408" customFormat="1">
      <c r="O608" s="3"/>
      <c r="P608" s="3"/>
    </row>
    <row r="609" spans="15:16" s="408" customFormat="1">
      <c r="O609" s="3"/>
      <c r="P609" s="3"/>
    </row>
    <row r="610" spans="15:16" s="408" customFormat="1">
      <c r="O610" s="3"/>
      <c r="P610" s="3"/>
    </row>
    <row r="611" spans="15:16" s="408" customFormat="1">
      <c r="O611" s="3"/>
      <c r="P611" s="3"/>
    </row>
    <row r="612" spans="15:16" s="408" customFormat="1">
      <c r="O612" s="3"/>
      <c r="P612" s="3"/>
    </row>
    <row r="613" spans="15:16" s="408" customFormat="1">
      <c r="O613" s="3"/>
      <c r="P613" s="3"/>
    </row>
    <row r="614" spans="15:16" s="408" customFormat="1">
      <c r="O614" s="3"/>
      <c r="P614" s="3"/>
    </row>
    <row r="615" spans="15:16" s="408" customFormat="1">
      <c r="O615" s="3"/>
      <c r="P615" s="3"/>
    </row>
    <row r="616" spans="15:16" s="408" customFormat="1">
      <c r="O616" s="3"/>
      <c r="P616" s="3"/>
    </row>
    <row r="617" spans="15:16" s="408" customFormat="1">
      <c r="O617" s="3"/>
      <c r="P617" s="3"/>
    </row>
    <row r="618" spans="15:16" s="408" customFormat="1">
      <c r="O618" s="3"/>
      <c r="P618" s="3"/>
    </row>
    <row r="619" spans="15:16" s="408" customFormat="1">
      <c r="O619" s="3"/>
      <c r="P619" s="3"/>
    </row>
    <row r="620" spans="15:16" s="408" customFormat="1">
      <c r="O620" s="3"/>
      <c r="P620" s="3"/>
    </row>
    <row r="621" spans="15:16" s="408" customFormat="1">
      <c r="O621" s="3"/>
      <c r="P621" s="3"/>
    </row>
    <row r="622" spans="15:16" s="408" customFormat="1">
      <c r="O622" s="3"/>
      <c r="P622" s="3"/>
    </row>
    <row r="623" spans="15:16" s="408" customFormat="1">
      <c r="O623" s="3"/>
      <c r="P623" s="3"/>
    </row>
    <row r="624" spans="15:16" s="408" customFormat="1">
      <c r="O624" s="3"/>
      <c r="P624" s="3"/>
    </row>
    <row r="625" spans="15:16" s="408" customFormat="1">
      <c r="O625" s="3"/>
      <c r="P625" s="3"/>
    </row>
    <row r="626" spans="15:16" s="408" customFormat="1">
      <c r="O626" s="3"/>
      <c r="P626" s="3"/>
    </row>
    <row r="627" spans="15:16" s="408" customFormat="1">
      <c r="O627" s="3"/>
      <c r="P627" s="3"/>
    </row>
    <row r="628" spans="15:16" s="408" customFormat="1">
      <c r="O628" s="3"/>
      <c r="P628" s="3"/>
    </row>
    <row r="629" spans="15:16" s="408" customFormat="1">
      <c r="O629" s="3"/>
      <c r="P629" s="3"/>
    </row>
    <row r="630" spans="15:16" s="408" customFormat="1">
      <c r="O630" s="3"/>
      <c r="P630" s="3"/>
    </row>
    <row r="631" spans="15:16" s="408" customFormat="1">
      <c r="O631" s="3"/>
      <c r="P631" s="3"/>
    </row>
    <row r="632" spans="15:16" s="408" customFormat="1">
      <c r="O632" s="3"/>
      <c r="P632" s="3"/>
    </row>
    <row r="633" spans="15:16" s="408" customFormat="1">
      <c r="O633" s="3"/>
      <c r="P633" s="3"/>
    </row>
    <row r="634" spans="15:16" s="408" customFormat="1">
      <c r="O634" s="3"/>
      <c r="P634" s="3"/>
    </row>
    <row r="635" spans="15:16" s="408" customFormat="1">
      <c r="O635" s="3"/>
      <c r="P635" s="3"/>
    </row>
    <row r="636" spans="15:16" s="408" customFormat="1">
      <c r="O636" s="3"/>
      <c r="P636" s="3"/>
    </row>
    <row r="637" spans="15:16" s="408" customFormat="1">
      <c r="O637" s="3"/>
      <c r="P637" s="3"/>
    </row>
    <row r="638" spans="15:16" s="408" customFormat="1">
      <c r="O638" s="3"/>
      <c r="P638" s="3"/>
    </row>
    <row r="639" spans="15:16" s="408" customFormat="1">
      <c r="O639" s="3"/>
      <c r="P639" s="3"/>
    </row>
    <row r="640" spans="15:16" s="408" customFormat="1">
      <c r="O640" s="3"/>
      <c r="P640" s="3"/>
    </row>
    <row r="641" spans="15:16" s="408" customFormat="1">
      <c r="O641" s="3"/>
      <c r="P641" s="3"/>
    </row>
    <row r="642" spans="15:16" s="408" customFormat="1">
      <c r="O642" s="3"/>
      <c r="P642" s="3"/>
    </row>
    <row r="643" spans="15:16" s="408" customFormat="1">
      <c r="O643" s="3"/>
      <c r="P643" s="3"/>
    </row>
    <row r="644" spans="15:16" s="408" customFormat="1">
      <c r="O644" s="3"/>
      <c r="P644" s="3"/>
    </row>
    <row r="645" spans="15:16" s="408" customFormat="1">
      <c r="O645" s="3"/>
      <c r="P645" s="3"/>
    </row>
    <row r="646" spans="15:16" s="408" customFormat="1">
      <c r="O646" s="3"/>
      <c r="P646" s="3"/>
    </row>
    <row r="647" spans="15:16" s="408" customFormat="1">
      <c r="O647" s="3"/>
      <c r="P647" s="3"/>
    </row>
    <row r="648" spans="15:16" s="408" customFormat="1">
      <c r="O648" s="3"/>
      <c r="P648" s="3"/>
    </row>
    <row r="649" spans="15:16" s="408" customFormat="1">
      <c r="O649" s="3"/>
      <c r="P649" s="3"/>
    </row>
    <row r="650" spans="15:16" s="408" customFormat="1">
      <c r="O650" s="3"/>
      <c r="P650" s="3"/>
    </row>
    <row r="651" spans="15:16" s="408" customFormat="1">
      <c r="O651" s="3"/>
      <c r="P651" s="3"/>
    </row>
    <row r="652" spans="15:16" s="408" customFormat="1">
      <c r="O652" s="3"/>
      <c r="P652" s="3"/>
    </row>
    <row r="653" spans="15:16" s="408" customFormat="1">
      <c r="O653" s="3"/>
      <c r="P653" s="3"/>
    </row>
    <row r="654" spans="15:16" s="408" customFormat="1">
      <c r="O654" s="3"/>
      <c r="P654" s="3"/>
    </row>
    <row r="655" spans="15:16" s="408" customFormat="1">
      <c r="O655" s="3"/>
      <c r="P655" s="3"/>
    </row>
    <row r="656" spans="15:16" s="408" customFormat="1">
      <c r="O656" s="3"/>
      <c r="P656" s="3"/>
    </row>
    <row r="657" spans="15:16" s="408" customFormat="1">
      <c r="O657" s="3"/>
      <c r="P657" s="3"/>
    </row>
  </sheetData>
  <sheetProtection algorithmName="SHA-512" hashValue="91eovpgmEgl7eQZQxFEG+yX0lg/EzykCUkbfczvxrVFGTFwti4fM91Z6DukYPwFcAh9xNDys+XHXZrFC/wf0hg==" saltValue="fRRFhHPJYm67n/MtpsyU+Q==" spinCount="100000" sheet="1" selectLockedCells="1"/>
  <mergeCells count="58">
    <mergeCell ref="K5:L5"/>
    <mergeCell ref="B9:C9"/>
    <mergeCell ref="A6:A8"/>
    <mergeCell ref="B7:B8"/>
    <mergeCell ref="B11:C11"/>
    <mergeCell ref="B12:C12"/>
    <mergeCell ref="B10:C10"/>
    <mergeCell ref="P4:P8"/>
    <mergeCell ref="B53:C53"/>
    <mergeCell ref="B54:C54"/>
    <mergeCell ref="B33:C33"/>
    <mergeCell ref="B52:C52"/>
    <mergeCell ref="B35:C35"/>
    <mergeCell ref="B36:C36"/>
    <mergeCell ref="B37:C37"/>
    <mergeCell ref="B38:C38"/>
    <mergeCell ref="B16:C16"/>
    <mergeCell ref="B17:C17"/>
    <mergeCell ref="O4:O8"/>
    <mergeCell ref="C5:D5"/>
    <mergeCell ref="G5:H5"/>
    <mergeCell ref="B23:C23"/>
    <mergeCell ref="B25:C25"/>
    <mergeCell ref="B26:C26"/>
    <mergeCell ref="B13:C13"/>
    <mergeCell ref="B15:C15"/>
    <mergeCell ref="B22:C22"/>
    <mergeCell ref="B24:C24"/>
    <mergeCell ref="C1:K1"/>
    <mergeCell ref="C4:D4"/>
    <mergeCell ref="G4:H4"/>
    <mergeCell ref="K4:L4"/>
    <mergeCell ref="B3:C3"/>
    <mergeCell ref="C2:K2"/>
    <mergeCell ref="B50:C50"/>
    <mergeCell ref="B51:C51"/>
    <mergeCell ref="B14:C14"/>
    <mergeCell ref="B18:C18"/>
    <mergeCell ref="B19:C19"/>
    <mergeCell ref="B20:C20"/>
    <mergeCell ref="B21:C21"/>
    <mergeCell ref="B44:C44"/>
    <mergeCell ref="B45:C45"/>
    <mergeCell ref="B46:C46"/>
    <mergeCell ref="B48:C48"/>
    <mergeCell ref="B49:C49"/>
    <mergeCell ref="B39:C39"/>
    <mergeCell ref="B40:C40"/>
    <mergeCell ref="B41:C41"/>
    <mergeCell ref="B30:C30"/>
    <mergeCell ref="B42:C42"/>
    <mergeCell ref="B47:C47"/>
    <mergeCell ref="B34:C34"/>
    <mergeCell ref="B27:C27"/>
    <mergeCell ref="B28:C28"/>
    <mergeCell ref="B32:C32"/>
    <mergeCell ref="B43:C43"/>
    <mergeCell ref="B31:C31"/>
  </mergeCells>
  <phoneticPr fontId="35" type="noConversion"/>
  <pageMargins left="0.7" right="0.7" top="0.75" bottom="0.75" header="0.3" footer="0.3"/>
  <pageSetup scale="25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1:N1046"/>
  <sheetViews>
    <sheetView zoomScale="42" zoomScaleNormal="42" zoomScaleSheetLayoutView="40" workbookViewId="0">
      <selection activeCell="L103" sqref="L103"/>
    </sheetView>
  </sheetViews>
  <sheetFormatPr defaultColWidth="9.28515625" defaultRowHeight="16.5"/>
  <cols>
    <col min="1" max="1" width="26.7109375" style="1" customWidth="1"/>
    <col min="2" max="2" width="60.7109375" style="8" customWidth="1"/>
    <col min="3" max="3" width="27" style="8" bestFit="1" customWidth="1"/>
    <col min="4" max="4" width="33.28515625" style="8" bestFit="1" customWidth="1"/>
    <col min="5" max="5" width="1.7109375" style="8" customWidth="1"/>
    <col min="6" max="6" width="60.28515625" style="8" customWidth="1"/>
    <col min="7" max="7" width="27" style="8" bestFit="1" customWidth="1"/>
    <col min="8" max="8" width="32.28515625" style="8" customWidth="1"/>
    <col min="9" max="9" width="18.28515625" style="8" hidden="1" customWidth="1"/>
    <col min="10" max="10" width="61" style="8" customWidth="1"/>
    <col min="11" max="11" width="27" style="8" bestFit="1" customWidth="1"/>
    <col min="12" max="12" width="33.28515625" style="8" bestFit="1" customWidth="1"/>
    <col min="13" max="13" width="26.42578125" style="1" customWidth="1"/>
    <col min="14" max="14" width="27.28515625" style="8" customWidth="1"/>
    <col min="15" max="653" width="0.7109375" style="8" customWidth="1"/>
    <col min="654" max="16384" width="9.28515625" style="8"/>
  </cols>
  <sheetData>
    <row r="1" spans="1:14" s="130" customFormat="1" ht="35.25">
      <c r="A1" s="950" t="s">
        <v>313</v>
      </c>
      <c r="B1" s="950"/>
      <c r="C1" s="950"/>
      <c r="D1" s="950"/>
      <c r="E1" s="950"/>
      <c r="F1" s="950"/>
      <c r="G1" s="950"/>
      <c r="H1" s="950"/>
      <c r="I1" s="544"/>
      <c r="J1" s="545"/>
      <c r="K1" s="546"/>
      <c r="L1" s="546"/>
      <c r="M1" s="546"/>
    </row>
    <row r="2" spans="1:14" s="130" customFormat="1" ht="31.5" customHeight="1">
      <c r="A2" s="547"/>
      <c r="B2" s="951" t="str">
        <f>'OTHER REPORTS'!A3</f>
        <v>TUESDAY 21ST OCTOBER 2025</v>
      </c>
      <c r="C2" s="951"/>
      <c r="D2" s="546"/>
      <c r="E2" s="546"/>
      <c r="F2" s="192"/>
      <c r="G2" s="546"/>
      <c r="H2" s="546"/>
      <c r="I2" s="546"/>
      <c r="J2" s="546"/>
    </row>
    <row r="3" spans="1:14" s="131" customFormat="1" ht="36.75" customHeight="1">
      <c r="A3" s="548"/>
      <c r="B3" s="549" t="s">
        <v>162</v>
      </c>
      <c r="C3" s="550"/>
      <c r="D3" s="551"/>
      <c r="E3" s="270"/>
      <c r="F3" s="552" t="s">
        <v>163</v>
      </c>
      <c r="G3" s="553"/>
      <c r="H3" s="554"/>
      <c r="J3" s="555" t="s">
        <v>164</v>
      </c>
      <c r="K3" s="556"/>
      <c r="L3" s="557"/>
    </row>
    <row r="4" spans="1:14" s="14" customFormat="1" ht="30.75" customHeight="1">
      <c r="A4" s="102" t="s">
        <v>167</v>
      </c>
      <c r="B4" s="192" t="str">
        <f>'STS RMG FAULTS'!C5</f>
        <v>KOMBE</v>
      </c>
      <c r="C4" s="558"/>
      <c r="D4" s="559"/>
      <c r="E4" s="52"/>
      <c r="F4" s="192" t="str">
        <f>'STS RMG FAULTS'!G5</f>
        <v>AMUTI</v>
      </c>
      <c r="G4" s="558"/>
      <c r="H4" s="559"/>
      <c r="I4" s="560"/>
      <c r="J4" s="561" t="str">
        <f>'STS RMG FAULTS'!K5</f>
        <v>NDIRANGU</v>
      </c>
      <c r="K4" s="558"/>
      <c r="L4" s="559"/>
      <c r="M4" s="560"/>
      <c r="N4" s="560"/>
    </row>
    <row r="5" spans="1:14" s="14" customFormat="1" ht="30.75" customHeight="1">
      <c r="A5" s="952" t="s">
        <v>314</v>
      </c>
      <c r="B5" s="562"/>
      <c r="C5" s="563" t="s">
        <v>107</v>
      </c>
      <c r="D5" s="564" t="s">
        <v>315</v>
      </c>
      <c r="E5" s="52"/>
      <c r="F5" s="562"/>
      <c r="G5" s="563" t="s">
        <v>107</v>
      </c>
      <c r="H5" s="564" t="s">
        <v>315</v>
      </c>
      <c r="I5" s="560"/>
      <c r="J5" s="562"/>
      <c r="K5" s="563" t="s">
        <v>107</v>
      </c>
      <c r="L5" s="564" t="s">
        <v>315</v>
      </c>
      <c r="M5" s="565" t="s">
        <v>165</v>
      </c>
      <c r="N5" s="947" t="s">
        <v>1</v>
      </c>
    </row>
    <row r="6" spans="1:14" s="14" customFormat="1" ht="42" customHeight="1">
      <c r="A6" s="953"/>
      <c r="B6" s="566" t="s">
        <v>316</v>
      </c>
      <c r="C6" s="129">
        <v>86</v>
      </c>
      <c r="D6" s="566">
        <f>102-C6</f>
        <v>16</v>
      </c>
      <c r="E6" s="460"/>
      <c r="F6" s="566"/>
      <c r="G6" s="129">
        <v>85</v>
      </c>
      <c r="H6" s="566">
        <f>102-G6</f>
        <v>17</v>
      </c>
      <c r="I6" s="560"/>
      <c r="J6" s="566" t="s">
        <v>28</v>
      </c>
      <c r="K6" s="129">
        <v>85</v>
      </c>
      <c r="L6" s="566">
        <f>102-K6</f>
        <v>17</v>
      </c>
      <c r="M6" s="567">
        <f>K6</f>
        <v>85</v>
      </c>
      <c r="N6" s="948"/>
    </row>
    <row r="7" spans="1:14" s="20" customFormat="1" ht="39.75" customHeight="1">
      <c r="A7" s="568"/>
      <c r="B7" s="566" t="s">
        <v>77</v>
      </c>
      <c r="C7" s="175">
        <v>131</v>
      </c>
      <c r="D7" s="569">
        <f>(141-C7)</f>
        <v>10</v>
      </c>
      <c r="E7" s="198"/>
      <c r="F7" s="566" t="s">
        <v>77</v>
      </c>
      <c r="G7" s="175">
        <v>129</v>
      </c>
      <c r="H7" s="569">
        <f>(141-G7)</f>
        <v>12</v>
      </c>
      <c r="I7" s="570"/>
      <c r="J7" s="566" t="s">
        <v>77</v>
      </c>
      <c r="K7" s="175">
        <v>129</v>
      </c>
      <c r="L7" s="569">
        <f>(141-K7)</f>
        <v>12</v>
      </c>
      <c r="M7" s="567">
        <f>K7</f>
        <v>129</v>
      </c>
      <c r="N7" s="949"/>
    </row>
    <row r="8" spans="1:14" s="25" customFormat="1" ht="36" customHeight="1">
      <c r="A8" s="571" t="s">
        <v>317</v>
      </c>
      <c r="B8" s="571" t="s">
        <v>172</v>
      </c>
      <c r="C8" s="572" t="s">
        <v>109</v>
      </c>
      <c r="D8" s="572" t="s">
        <v>111</v>
      </c>
      <c r="E8" s="103"/>
      <c r="F8" s="571" t="s">
        <v>172</v>
      </c>
      <c r="G8" s="572" t="s">
        <v>109</v>
      </c>
      <c r="H8" s="572" t="s">
        <v>111</v>
      </c>
      <c r="I8" s="573"/>
      <c r="J8" s="571" t="s">
        <v>172</v>
      </c>
      <c r="K8" s="572" t="s">
        <v>109</v>
      </c>
      <c r="L8" s="572" t="s">
        <v>111</v>
      </c>
      <c r="M8" s="574"/>
      <c r="N8" s="573"/>
    </row>
    <row r="9" spans="1:14" s="25" customFormat="1" ht="63" customHeight="1">
      <c r="A9" s="210" t="s">
        <v>318</v>
      </c>
      <c r="B9" s="179" t="s">
        <v>656</v>
      </c>
      <c r="C9" s="179">
        <v>0.33333333333333331</v>
      </c>
      <c r="D9" s="180">
        <v>0</v>
      </c>
      <c r="E9" s="134"/>
      <c r="F9" s="179" t="s">
        <v>174</v>
      </c>
      <c r="G9" s="179">
        <v>0.33333333333333331</v>
      </c>
      <c r="H9" s="180">
        <v>0</v>
      </c>
      <c r="I9" s="132"/>
      <c r="J9" s="179" t="s">
        <v>174</v>
      </c>
      <c r="K9" s="179">
        <v>0.33333333333333331</v>
      </c>
      <c r="L9" s="180">
        <v>0</v>
      </c>
      <c r="M9" s="575">
        <f t="shared" ref="M9:M67" si="0">SUM(C9,G9,K9)</f>
        <v>1</v>
      </c>
      <c r="N9" s="576">
        <f t="shared" ref="N9:N67" si="1">D9+H9+L9</f>
        <v>0</v>
      </c>
    </row>
    <row r="10" spans="1:14" s="25" customFormat="1" ht="63" customHeight="1">
      <c r="A10" s="210" t="s">
        <v>319</v>
      </c>
      <c r="B10" s="179" t="s">
        <v>669</v>
      </c>
      <c r="C10" s="179">
        <v>0.33333333333333331</v>
      </c>
      <c r="D10" s="180">
        <v>0</v>
      </c>
      <c r="E10" s="134"/>
      <c r="F10" s="179" t="s">
        <v>174</v>
      </c>
      <c r="G10" s="179">
        <v>0.33333333333333331</v>
      </c>
      <c r="H10" s="180">
        <v>0</v>
      </c>
      <c r="I10" s="132"/>
      <c r="J10" s="179" t="s">
        <v>174</v>
      </c>
      <c r="K10" s="179">
        <v>0.33333333333333331</v>
      </c>
      <c r="L10" s="180">
        <v>0</v>
      </c>
      <c r="M10" s="575">
        <f t="shared" si="0"/>
        <v>1</v>
      </c>
      <c r="N10" s="576">
        <f t="shared" si="1"/>
        <v>0</v>
      </c>
    </row>
    <row r="11" spans="1:14" s="25" customFormat="1" ht="63" customHeight="1">
      <c r="A11" s="210" t="s">
        <v>320</v>
      </c>
      <c r="B11" s="179" t="s">
        <v>656</v>
      </c>
      <c r="C11" s="179">
        <v>0.33333333333333331</v>
      </c>
      <c r="D11" s="180">
        <v>0</v>
      </c>
      <c r="E11" s="134"/>
      <c r="F11" s="179" t="s">
        <v>174</v>
      </c>
      <c r="G11" s="648">
        <v>0.33333333333333331</v>
      </c>
      <c r="H11" s="180">
        <v>0</v>
      </c>
      <c r="I11" s="132"/>
      <c r="J11" s="179" t="s">
        <v>174</v>
      </c>
      <c r="K11" s="179">
        <v>0.33333333333333331</v>
      </c>
      <c r="L11" s="180">
        <v>0</v>
      </c>
      <c r="M11" s="575">
        <f>SUM(C11,G11,K11)</f>
        <v>1</v>
      </c>
      <c r="N11" s="576">
        <f t="shared" si="1"/>
        <v>0</v>
      </c>
    </row>
    <row r="12" spans="1:14" s="25" customFormat="1" ht="63" customHeight="1">
      <c r="A12" s="210" t="s">
        <v>321</v>
      </c>
      <c r="B12" s="179" t="s">
        <v>134</v>
      </c>
      <c r="C12" s="179">
        <v>0</v>
      </c>
      <c r="D12" s="180">
        <v>0</v>
      </c>
      <c r="E12" s="134"/>
      <c r="F12" s="179" t="s">
        <v>134</v>
      </c>
      <c r="G12" s="179">
        <v>0</v>
      </c>
      <c r="H12" s="180">
        <v>0</v>
      </c>
      <c r="I12" s="132"/>
      <c r="J12" s="179" t="s">
        <v>134</v>
      </c>
      <c r="K12" s="179">
        <v>0</v>
      </c>
      <c r="L12" s="180">
        <v>0</v>
      </c>
      <c r="M12" s="575">
        <f t="shared" si="0"/>
        <v>0</v>
      </c>
      <c r="N12" s="576">
        <f t="shared" si="1"/>
        <v>0</v>
      </c>
    </row>
    <row r="13" spans="1:14" s="25" customFormat="1" ht="63" customHeight="1">
      <c r="A13" s="210" t="s">
        <v>322</v>
      </c>
      <c r="B13" s="179" t="s">
        <v>628</v>
      </c>
      <c r="C13" s="179">
        <v>0.33333333333333331</v>
      </c>
      <c r="D13" s="180">
        <v>0</v>
      </c>
      <c r="E13" s="134"/>
      <c r="F13" s="179" t="s">
        <v>174</v>
      </c>
      <c r="G13" s="179">
        <v>0.33333333333333331</v>
      </c>
      <c r="H13" s="180">
        <v>0</v>
      </c>
      <c r="I13" s="132"/>
      <c r="J13" s="179" t="s">
        <v>174</v>
      </c>
      <c r="K13" s="179">
        <v>0.33333333333333331</v>
      </c>
      <c r="L13" s="180">
        <v>0</v>
      </c>
      <c r="M13" s="575">
        <f t="shared" si="0"/>
        <v>1</v>
      </c>
      <c r="N13" s="576">
        <f t="shared" si="1"/>
        <v>0</v>
      </c>
    </row>
    <row r="14" spans="1:14" s="25" customFormat="1" ht="63" customHeight="1">
      <c r="A14" s="210" t="s">
        <v>323</v>
      </c>
      <c r="B14" s="179" t="s">
        <v>324</v>
      </c>
      <c r="C14" s="179">
        <v>0.33333333333333331</v>
      </c>
      <c r="D14" s="180">
        <v>0</v>
      </c>
      <c r="E14" s="134"/>
      <c r="F14" s="179" t="s">
        <v>174</v>
      </c>
      <c r="G14" s="179">
        <v>0.33333333333333331</v>
      </c>
      <c r="H14" s="180">
        <v>0</v>
      </c>
      <c r="I14" s="132"/>
      <c r="J14" s="180" t="s">
        <v>174</v>
      </c>
      <c r="K14" s="179">
        <v>0.33333333333333331</v>
      </c>
      <c r="L14" s="180">
        <v>0</v>
      </c>
      <c r="M14" s="575">
        <f t="shared" si="0"/>
        <v>1</v>
      </c>
      <c r="N14" s="576">
        <f t="shared" si="1"/>
        <v>0</v>
      </c>
    </row>
    <row r="15" spans="1:14" s="25" customFormat="1" ht="63" customHeight="1">
      <c r="A15" s="210" t="s">
        <v>325</v>
      </c>
      <c r="B15" s="179" t="s">
        <v>665</v>
      </c>
      <c r="C15" s="179">
        <v>0.33333333333333331</v>
      </c>
      <c r="D15" s="180">
        <v>0</v>
      </c>
      <c r="E15" s="134"/>
      <c r="F15" s="179" t="s">
        <v>174</v>
      </c>
      <c r="G15" s="179">
        <v>0.33333333333333331</v>
      </c>
      <c r="H15" s="180">
        <v>0</v>
      </c>
      <c r="I15" s="132"/>
      <c r="J15" s="179" t="s">
        <v>174</v>
      </c>
      <c r="K15" s="179">
        <v>0.33333333333333331</v>
      </c>
      <c r="L15" s="180">
        <v>0</v>
      </c>
      <c r="M15" s="575">
        <f t="shared" si="0"/>
        <v>1</v>
      </c>
      <c r="N15" s="576">
        <f t="shared" si="1"/>
        <v>0</v>
      </c>
    </row>
    <row r="16" spans="1:14" s="25" customFormat="1" ht="63" customHeight="1">
      <c r="A16" s="210" t="s">
        <v>327</v>
      </c>
      <c r="B16" s="179" t="s">
        <v>134</v>
      </c>
      <c r="C16" s="179">
        <v>0</v>
      </c>
      <c r="D16" s="180">
        <v>0</v>
      </c>
      <c r="E16" s="134"/>
      <c r="F16" s="179" t="s">
        <v>701</v>
      </c>
      <c r="G16" s="179">
        <v>0.32291666666666669</v>
      </c>
      <c r="H16" s="180">
        <v>1</v>
      </c>
      <c r="I16" s="132"/>
      <c r="J16" s="179" t="s">
        <v>174</v>
      </c>
      <c r="K16" s="179">
        <v>0.33333333333333331</v>
      </c>
      <c r="L16" s="180">
        <v>0</v>
      </c>
      <c r="M16" s="575">
        <f t="shared" si="0"/>
        <v>0.65625</v>
      </c>
      <c r="N16" s="576">
        <f t="shared" si="1"/>
        <v>1</v>
      </c>
    </row>
    <row r="17" spans="1:14" s="25" customFormat="1" ht="63" customHeight="1">
      <c r="A17" s="210" t="s">
        <v>328</v>
      </c>
      <c r="B17" s="179" t="s">
        <v>630</v>
      </c>
      <c r="C17" s="179">
        <v>0.33333333333333331</v>
      </c>
      <c r="D17" s="180">
        <v>0</v>
      </c>
      <c r="E17" s="134"/>
      <c r="F17" s="179" t="s">
        <v>174</v>
      </c>
      <c r="G17" s="179">
        <v>0.33333333333333331</v>
      </c>
      <c r="H17" s="180">
        <v>0</v>
      </c>
      <c r="I17" s="132"/>
      <c r="J17" s="179" t="s">
        <v>174</v>
      </c>
      <c r="K17" s="179">
        <v>0.33333333333333331</v>
      </c>
      <c r="L17" s="180">
        <v>0</v>
      </c>
      <c r="M17" s="575">
        <f t="shared" si="0"/>
        <v>1</v>
      </c>
      <c r="N17" s="576">
        <f t="shared" si="1"/>
        <v>0</v>
      </c>
    </row>
    <row r="18" spans="1:14" s="25" customFormat="1" ht="63" customHeight="1">
      <c r="A18" s="210" t="s">
        <v>329</v>
      </c>
      <c r="B18" s="179" t="s">
        <v>681</v>
      </c>
      <c r="C18" s="179">
        <v>0.33333333333333331</v>
      </c>
      <c r="D18" s="180">
        <v>0</v>
      </c>
      <c r="E18" s="134"/>
      <c r="F18" s="179" t="s">
        <v>174</v>
      </c>
      <c r="G18" s="179">
        <v>0.33333333333333331</v>
      </c>
      <c r="H18" s="180">
        <v>0</v>
      </c>
      <c r="I18" s="132"/>
      <c r="J18" s="179" t="s">
        <v>174</v>
      </c>
      <c r="K18" s="179">
        <v>0.33333333333333331</v>
      </c>
      <c r="L18" s="180">
        <v>0</v>
      </c>
      <c r="M18" s="575">
        <f t="shared" si="0"/>
        <v>1</v>
      </c>
      <c r="N18" s="576">
        <f t="shared" si="1"/>
        <v>0</v>
      </c>
    </row>
    <row r="19" spans="1:14" s="25" customFormat="1" ht="63" customHeight="1">
      <c r="A19" s="210" t="s">
        <v>330</v>
      </c>
      <c r="B19" s="179" t="s">
        <v>331</v>
      </c>
      <c r="C19" s="179">
        <v>0.33333333333333331</v>
      </c>
      <c r="D19" s="249">
        <v>0</v>
      </c>
      <c r="E19" s="134"/>
      <c r="F19" s="179" t="s">
        <v>174</v>
      </c>
      <c r="G19" s="179">
        <v>0.33333333333333331</v>
      </c>
      <c r="H19" s="180">
        <v>0</v>
      </c>
      <c r="I19" s="132"/>
      <c r="J19" s="179" t="s">
        <v>174</v>
      </c>
      <c r="K19" s="179">
        <v>0.33333333333333331</v>
      </c>
      <c r="L19" s="180">
        <v>0</v>
      </c>
      <c r="M19" s="575">
        <f>SUM(C19,G19,K19)</f>
        <v>1</v>
      </c>
      <c r="N19" s="576">
        <v>0</v>
      </c>
    </row>
    <row r="20" spans="1:14" s="25" customFormat="1" ht="63" customHeight="1">
      <c r="A20" s="210" t="s">
        <v>332</v>
      </c>
      <c r="B20" s="179" t="s">
        <v>650</v>
      </c>
      <c r="C20" s="179">
        <v>0.33333333333333331</v>
      </c>
      <c r="D20" s="180">
        <v>0</v>
      </c>
      <c r="E20" s="134"/>
      <c r="F20" s="179" t="s">
        <v>174</v>
      </c>
      <c r="G20" s="179">
        <v>0.33333333333333331</v>
      </c>
      <c r="H20" s="180">
        <v>0</v>
      </c>
      <c r="I20" s="132"/>
      <c r="J20" s="179" t="s">
        <v>174</v>
      </c>
      <c r="K20" s="179">
        <v>0.33333333333333331</v>
      </c>
      <c r="L20" s="180">
        <v>0</v>
      </c>
      <c r="M20" s="575">
        <f t="shared" si="0"/>
        <v>1</v>
      </c>
      <c r="N20" s="576">
        <f t="shared" si="1"/>
        <v>0</v>
      </c>
    </row>
    <row r="21" spans="1:14" s="25" customFormat="1" ht="63" customHeight="1">
      <c r="A21" s="210" t="s">
        <v>333</v>
      </c>
      <c r="B21" s="179" t="s">
        <v>334</v>
      </c>
      <c r="C21" s="179">
        <v>0.33333333333333331</v>
      </c>
      <c r="D21" s="180">
        <v>0</v>
      </c>
      <c r="E21" s="179"/>
      <c r="F21" s="179" t="s">
        <v>174</v>
      </c>
      <c r="G21" s="179">
        <v>0.33333333333333331</v>
      </c>
      <c r="H21" s="180">
        <v>0</v>
      </c>
      <c r="I21" s="179"/>
      <c r="J21" s="179" t="s">
        <v>174</v>
      </c>
      <c r="K21" s="179">
        <v>0.33333333333333331</v>
      </c>
      <c r="L21" s="180">
        <v>0</v>
      </c>
      <c r="M21" s="575">
        <f t="shared" si="0"/>
        <v>1</v>
      </c>
      <c r="N21" s="576">
        <f t="shared" si="1"/>
        <v>0</v>
      </c>
    </row>
    <row r="22" spans="1:14" s="25" customFormat="1" ht="63" customHeight="1">
      <c r="A22" s="210" t="s">
        <v>335</v>
      </c>
      <c r="B22" s="179" t="s">
        <v>134</v>
      </c>
      <c r="C22" s="179">
        <v>0</v>
      </c>
      <c r="D22" s="180">
        <v>0</v>
      </c>
      <c r="E22" s="179"/>
      <c r="F22" s="179" t="s">
        <v>134</v>
      </c>
      <c r="G22" s="179">
        <v>0</v>
      </c>
      <c r="H22" s="180">
        <v>0</v>
      </c>
      <c r="I22" s="179"/>
      <c r="J22" s="179" t="s">
        <v>134</v>
      </c>
      <c r="K22" s="179">
        <v>0</v>
      </c>
      <c r="L22" s="180">
        <v>0</v>
      </c>
      <c r="M22" s="575">
        <f t="shared" si="0"/>
        <v>0</v>
      </c>
      <c r="N22" s="576">
        <f t="shared" si="1"/>
        <v>0</v>
      </c>
    </row>
    <row r="23" spans="1:14" s="25" customFormat="1" ht="63" customHeight="1">
      <c r="A23" s="210" t="s">
        <v>336</v>
      </c>
      <c r="B23" s="179" t="s">
        <v>665</v>
      </c>
      <c r="C23" s="179">
        <v>0.33333333333333331</v>
      </c>
      <c r="D23" s="180">
        <v>0</v>
      </c>
      <c r="E23" s="179" t="s">
        <v>337</v>
      </c>
      <c r="F23" s="179" t="s">
        <v>174</v>
      </c>
      <c r="G23" s="179">
        <v>0.33333333333333331</v>
      </c>
      <c r="H23" s="180">
        <v>0</v>
      </c>
      <c r="I23" s="179"/>
      <c r="J23" s="179" t="s">
        <v>174</v>
      </c>
      <c r="K23" s="179">
        <v>0.33333333333333331</v>
      </c>
      <c r="L23" s="180">
        <v>0</v>
      </c>
      <c r="M23" s="575">
        <f t="shared" si="0"/>
        <v>1</v>
      </c>
      <c r="N23" s="576">
        <f t="shared" si="1"/>
        <v>0</v>
      </c>
    </row>
    <row r="24" spans="1:14" s="25" customFormat="1" ht="63" customHeight="1">
      <c r="A24" s="210" t="s">
        <v>338</v>
      </c>
      <c r="B24" s="179" t="s">
        <v>339</v>
      </c>
      <c r="C24" s="179">
        <v>0.33333333333333331</v>
      </c>
      <c r="D24" s="180">
        <v>0</v>
      </c>
      <c r="E24" s="179"/>
      <c r="F24" s="179" t="s">
        <v>174</v>
      </c>
      <c r="G24" s="179">
        <v>0.33333333333333331</v>
      </c>
      <c r="H24" s="180">
        <v>0</v>
      </c>
      <c r="I24" s="179"/>
      <c r="J24" s="179" t="s">
        <v>174</v>
      </c>
      <c r="K24" s="292">
        <v>0.33333333333333331</v>
      </c>
      <c r="L24" s="180">
        <v>0</v>
      </c>
      <c r="M24" s="575">
        <f t="shared" si="0"/>
        <v>1</v>
      </c>
      <c r="N24" s="576">
        <f t="shared" si="1"/>
        <v>0</v>
      </c>
    </row>
    <row r="25" spans="1:14" s="25" customFormat="1" ht="63" customHeight="1">
      <c r="A25" s="210" t="s">
        <v>340</v>
      </c>
      <c r="B25" s="179" t="s">
        <v>334</v>
      </c>
      <c r="C25" s="179">
        <v>0.33333333333333331</v>
      </c>
      <c r="D25" s="180">
        <v>0</v>
      </c>
      <c r="E25" s="179">
        <v>0</v>
      </c>
      <c r="F25" s="179" t="s">
        <v>174</v>
      </c>
      <c r="G25" s="179">
        <v>0.33333333333333331</v>
      </c>
      <c r="H25" s="180">
        <v>0</v>
      </c>
      <c r="I25" s="179"/>
      <c r="J25" s="179" t="s">
        <v>174</v>
      </c>
      <c r="K25" s="179">
        <v>0.33333333333333331</v>
      </c>
      <c r="L25" s="180">
        <v>0</v>
      </c>
      <c r="M25" s="575">
        <f t="shared" si="0"/>
        <v>1</v>
      </c>
      <c r="N25" s="576">
        <f t="shared" si="1"/>
        <v>0</v>
      </c>
    </row>
    <row r="26" spans="1:14" s="25" customFormat="1" ht="63" customHeight="1">
      <c r="A26" s="210" t="s">
        <v>341</v>
      </c>
      <c r="B26" s="179" t="s">
        <v>134</v>
      </c>
      <c r="C26" s="179">
        <v>0</v>
      </c>
      <c r="D26" s="180">
        <v>0</v>
      </c>
      <c r="E26" s="179"/>
      <c r="F26" s="179" t="s">
        <v>134</v>
      </c>
      <c r="G26" s="179">
        <v>0</v>
      </c>
      <c r="H26" s="180">
        <v>0</v>
      </c>
      <c r="I26" s="179"/>
      <c r="J26" s="179" t="s">
        <v>134</v>
      </c>
      <c r="K26" s="179">
        <v>0</v>
      </c>
      <c r="L26" s="180">
        <v>0</v>
      </c>
      <c r="M26" s="575">
        <f t="shared" si="0"/>
        <v>0</v>
      </c>
      <c r="N26" s="576">
        <f t="shared" si="1"/>
        <v>0</v>
      </c>
    </row>
    <row r="27" spans="1:14" s="25" customFormat="1" ht="63" customHeight="1">
      <c r="A27" s="210" t="s">
        <v>342</v>
      </c>
      <c r="B27" s="179" t="s">
        <v>134</v>
      </c>
      <c r="C27" s="179">
        <v>0</v>
      </c>
      <c r="D27" s="180">
        <v>0</v>
      </c>
      <c r="E27" s="179"/>
      <c r="F27" s="179" t="s">
        <v>134</v>
      </c>
      <c r="G27" s="179">
        <v>0</v>
      </c>
      <c r="H27" s="180">
        <v>0</v>
      </c>
      <c r="I27" s="179"/>
      <c r="J27" s="179" t="s">
        <v>134</v>
      </c>
      <c r="K27" s="179">
        <v>0</v>
      </c>
      <c r="L27" s="180">
        <v>0</v>
      </c>
      <c r="M27" s="575">
        <f t="shared" si="0"/>
        <v>0</v>
      </c>
      <c r="N27" s="576">
        <f t="shared" si="1"/>
        <v>0</v>
      </c>
    </row>
    <row r="28" spans="1:14" s="25" customFormat="1" ht="63" customHeight="1">
      <c r="A28" s="210" t="s">
        <v>343</v>
      </c>
      <c r="B28" s="179" t="s">
        <v>134</v>
      </c>
      <c r="C28" s="179">
        <v>0</v>
      </c>
      <c r="D28" s="180">
        <v>0</v>
      </c>
      <c r="E28" s="179"/>
      <c r="F28" s="179" t="s">
        <v>134</v>
      </c>
      <c r="G28" s="179">
        <v>0</v>
      </c>
      <c r="H28" s="180">
        <v>0</v>
      </c>
      <c r="I28" s="179"/>
      <c r="J28" s="179" t="s">
        <v>134</v>
      </c>
      <c r="K28" s="179">
        <v>0</v>
      </c>
      <c r="L28" s="180">
        <v>0</v>
      </c>
      <c r="M28" s="575">
        <f t="shared" si="0"/>
        <v>0</v>
      </c>
      <c r="N28" s="576">
        <f t="shared" si="1"/>
        <v>0</v>
      </c>
    </row>
    <row r="29" spans="1:14" s="25" customFormat="1" ht="63" customHeight="1">
      <c r="A29" s="210" t="s">
        <v>344</v>
      </c>
      <c r="B29" s="179" t="s">
        <v>666</v>
      </c>
      <c r="C29" s="179">
        <v>0.33333333333333331</v>
      </c>
      <c r="D29" s="180">
        <v>0</v>
      </c>
      <c r="E29" s="179"/>
      <c r="F29" s="179" t="s">
        <v>174</v>
      </c>
      <c r="G29" s="179">
        <v>0.33333333333333331</v>
      </c>
      <c r="H29" s="180">
        <v>0</v>
      </c>
      <c r="I29" s="179"/>
      <c r="J29" s="179" t="s">
        <v>174</v>
      </c>
      <c r="K29" s="179">
        <v>0.33333333333333331</v>
      </c>
      <c r="L29" s="180">
        <v>0</v>
      </c>
      <c r="M29" s="575">
        <f t="shared" si="0"/>
        <v>1</v>
      </c>
      <c r="N29" s="576">
        <f t="shared" si="1"/>
        <v>0</v>
      </c>
    </row>
    <row r="30" spans="1:14" s="25" customFormat="1" ht="63" customHeight="1">
      <c r="A30" s="210" t="s">
        <v>345</v>
      </c>
      <c r="B30" s="179" t="s">
        <v>134</v>
      </c>
      <c r="C30" s="179">
        <v>0</v>
      </c>
      <c r="D30" s="180">
        <v>0</v>
      </c>
      <c r="E30" s="179"/>
      <c r="F30" s="179" t="s">
        <v>134</v>
      </c>
      <c r="G30" s="179">
        <v>0</v>
      </c>
      <c r="H30" s="180">
        <v>0</v>
      </c>
      <c r="I30" s="179"/>
      <c r="J30" s="179" t="s">
        <v>134</v>
      </c>
      <c r="K30" s="179">
        <v>0</v>
      </c>
      <c r="L30" s="180">
        <v>0</v>
      </c>
      <c r="M30" s="575">
        <f t="shared" si="0"/>
        <v>0</v>
      </c>
      <c r="N30" s="576">
        <f t="shared" si="1"/>
        <v>0</v>
      </c>
    </row>
    <row r="31" spans="1:14" s="25" customFormat="1" ht="63" customHeight="1">
      <c r="A31" s="210" t="s">
        <v>346</v>
      </c>
      <c r="B31" s="179" t="s">
        <v>134</v>
      </c>
      <c r="C31" s="179">
        <v>0</v>
      </c>
      <c r="D31" s="180">
        <v>0</v>
      </c>
      <c r="E31" s="179"/>
      <c r="F31" s="179" t="s">
        <v>134</v>
      </c>
      <c r="G31" s="179">
        <v>0</v>
      </c>
      <c r="H31" s="180">
        <v>0</v>
      </c>
      <c r="I31" s="179"/>
      <c r="J31" s="179" t="s">
        <v>134</v>
      </c>
      <c r="K31" s="179">
        <v>0</v>
      </c>
      <c r="L31" s="180">
        <v>0</v>
      </c>
      <c r="M31" s="575">
        <f t="shared" si="0"/>
        <v>0</v>
      </c>
      <c r="N31" s="576">
        <f t="shared" si="1"/>
        <v>0</v>
      </c>
    </row>
    <row r="32" spans="1:14" s="25" customFormat="1" ht="63" customHeight="1">
      <c r="A32" s="210" t="s">
        <v>347</v>
      </c>
      <c r="B32" s="179" t="s">
        <v>348</v>
      </c>
      <c r="C32" s="179">
        <v>0.33333333333333331</v>
      </c>
      <c r="D32" s="180">
        <v>0</v>
      </c>
      <c r="E32" s="179"/>
      <c r="F32" s="179" t="s">
        <v>174</v>
      </c>
      <c r="G32" s="179">
        <v>0.33333333333333331</v>
      </c>
      <c r="H32" s="180">
        <v>0</v>
      </c>
      <c r="I32" s="179"/>
      <c r="J32" s="179" t="s">
        <v>174</v>
      </c>
      <c r="K32" s="179">
        <v>0.33333333333333331</v>
      </c>
      <c r="L32" s="180">
        <v>0</v>
      </c>
      <c r="M32" s="575">
        <f t="shared" si="0"/>
        <v>1</v>
      </c>
      <c r="N32" s="576">
        <f t="shared" si="1"/>
        <v>0</v>
      </c>
    </row>
    <row r="33" spans="1:14" s="25" customFormat="1" ht="63" customHeight="1">
      <c r="A33" s="210" t="s">
        <v>349</v>
      </c>
      <c r="B33" s="179" t="s">
        <v>134</v>
      </c>
      <c r="C33" s="293">
        <v>0</v>
      </c>
      <c r="D33" s="180">
        <v>0</v>
      </c>
      <c r="E33" s="179"/>
      <c r="F33" s="179" t="s">
        <v>134</v>
      </c>
      <c r="G33" s="179">
        <v>0</v>
      </c>
      <c r="H33" s="180">
        <v>0</v>
      </c>
      <c r="I33" s="179"/>
      <c r="J33" s="179" t="s">
        <v>134</v>
      </c>
      <c r="K33" s="179">
        <v>0</v>
      </c>
      <c r="L33" s="180">
        <v>0</v>
      </c>
      <c r="M33" s="575">
        <f t="shared" si="0"/>
        <v>0</v>
      </c>
      <c r="N33" s="576">
        <f t="shared" si="1"/>
        <v>0</v>
      </c>
    </row>
    <row r="34" spans="1:14" s="25" customFormat="1" ht="63" customHeight="1">
      <c r="A34" s="210" t="s">
        <v>350</v>
      </c>
      <c r="B34" s="179" t="s">
        <v>134</v>
      </c>
      <c r="C34" s="179">
        <v>0</v>
      </c>
      <c r="D34" s="180">
        <v>0</v>
      </c>
      <c r="E34" s="179"/>
      <c r="F34" s="179" t="s">
        <v>134</v>
      </c>
      <c r="G34" s="179">
        <v>0</v>
      </c>
      <c r="H34" s="180">
        <v>0</v>
      </c>
      <c r="I34" s="179"/>
      <c r="J34" s="179" t="s">
        <v>134</v>
      </c>
      <c r="K34" s="179">
        <v>0</v>
      </c>
      <c r="L34" s="180">
        <v>0</v>
      </c>
      <c r="M34" s="575">
        <f t="shared" si="0"/>
        <v>0</v>
      </c>
      <c r="N34" s="576">
        <f t="shared" si="1"/>
        <v>0</v>
      </c>
    </row>
    <row r="35" spans="1:14" s="25" customFormat="1" ht="63" customHeight="1">
      <c r="A35" s="210" t="s">
        <v>351</v>
      </c>
      <c r="B35" s="179" t="s">
        <v>134</v>
      </c>
      <c r="C35" s="293">
        <v>0</v>
      </c>
      <c r="D35" s="180">
        <v>0</v>
      </c>
      <c r="E35" s="179"/>
      <c r="F35" s="179" t="s">
        <v>134</v>
      </c>
      <c r="G35" s="179">
        <v>0</v>
      </c>
      <c r="H35" s="180">
        <v>0</v>
      </c>
      <c r="I35" s="179"/>
      <c r="J35" s="179" t="s">
        <v>134</v>
      </c>
      <c r="K35" s="179">
        <v>0</v>
      </c>
      <c r="L35" s="180">
        <v>0</v>
      </c>
      <c r="M35" s="575">
        <f t="shared" si="0"/>
        <v>0</v>
      </c>
      <c r="N35" s="576">
        <f t="shared" si="1"/>
        <v>0</v>
      </c>
    </row>
    <row r="36" spans="1:14" s="25" customFormat="1" ht="63" customHeight="1">
      <c r="A36" s="210" t="s">
        <v>352</v>
      </c>
      <c r="B36" s="179" t="s">
        <v>134</v>
      </c>
      <c r="C36" s="179">
        <v>0</v>
      </c>
      <c r="D36" s="180">
        <v>0</v>
      </c>
      <c r="E36" s="179"/>
      <c r="F36" s="179" t="s">
        <v>134</v>
      </c>
      <c r="G36" s="179">
        <v>0</v>
      </c>
      <c r="H36" s="180">
        <v>0</v>
      </c>
      <c r="I36" s="179"/>
      <c r="J36" s="179" t="s">
        <v>134</v>
      </c>
      <c r="K36" s="179">
        <v>0</v>
      </c>
      <c r="L36" s="180">
        <v>0</v>
      </c>
      <c r="M36" s="575">
        <f t="shared" si="0"/>
        <v>0</v>
      </c>
      <c r="N36" s="576">
        <f t="shared" si="1"/>
        <v>0</v>
      </c>
    </row>
    <row r="37" spans="1:14" s="25" customFormat="1" ht="63" customHeight="1">
      <c r="A37" s="210" t="s">
        <v>353</v>
      </c>
      <c r="B37" s="179" t="s">
        <v>134</v>
      </c>
      <c r="C37" s="179">
        <v>0</v>
      </c>
      <c r="D37" s="180">
        <v>0</v>
      </c>
      <c r="E37" s="179"/>
      <c r="F37" s="179" t="s">
        <v>134</v>
      </c>
      <c r="G37" s="179">
        <v>0</v>
      </c>
      <c r="H37" s="180">
        <v>0</v>
      </c>
      <c r="I37" s="179"/>
      <c r="J37" s="179" t="s">
        <v>134</v>
      </c>
      <c r="K37" s="179">
        <v>0</v>
      </c>
      <c r="L37" s="180">
        <v>0</v>
      </c>
      <c r="M37" s="575">
        <f t="shared" si="0"/>
        <v>0</v>
      </c>
      <c r="N37" s="576">
        <f t="shared" si="1"/>
        <v>0</v>
      </c>
    </row>
    <row r="38" spans="1:14" s="25" customFormat="1" ht="63" customHeight="1">
      <c r="A38" s="210" t="s">
        <v>354</v>
      </c>
      <c r="B38" s="179" t="s">
        <v>134</v>
      </c>
      <c r="C38" s="293">
        <v>0</v>
      </c>
      <c r="D38" s="180">
        <v>0</v>
      </c>
      <c r="E38" s="179"/>
      <c r="F38" s="179" t="s">
        <v>134</v>
      </c>
      <c r="G38" s="179">
        <v>0</v>
      </c>
      <c r="H38" s="180">
        <v>0</v>
      </c>
      <c r="I38" s="179"/>
      <c r="J38" s="179" t="s">
        <v>134</v>
      </c>
      <c r="K38" s="179">
        <v>0</v>
      </c>
      <c r="L38" s="180">
        <v>0</v>
      </c>
      <c r="M38" s="575">
        <f t="shared" si="0"/>
        <v>0</v>
      </c>
      <c r="N38" s="576">
        <f t="shared" si="1"/>
        <v>0</v>
      </c>
    </row>
    <row r="39" spans="1:14" s="25" customFormat="1" ht="63" customHeight="1">
      <c r="A39" s="210" t="s">
        <v>355</v>
      </c>
      <c r="B39" s="179" t="s">
        <v>134</v>
      </c>
      <c r="C39" s="179">
        <v>0</v>
      </c>
      <c r="D39" s="180">
        <v>0</v>
      </c>
      <c r="E39" s="179"/>
      <c r="F39" s="179" t="s">
        <v>134</v>
      </c>
      <c r="G39" s="179">
        <v>0</v>
      </c>
      <c r="H39" s="180">
        <v>0</v>
      </c>
      <c r="I39" s="179"/>
      <c r="J39" s="179" t="s">
        <v>134</v>
      </c>
      <c r="K39" s="179">
        <v>0</v>
      </c>
      <c r="L39" s="180">
        <v>0</v>
      </c>
      <c r="M39" s="575">
        <f t="shared" si="0"/>
        <v>0</v>
      </c>
      <c r="N39" s="576">
        <f t="shared" si="1"/>
        <v>0</v>
      </c>
    </row>
    <row r="40" spans="1:14" s="25" customFormat="1" ht="63" customHeight="1">
      <c r="A40" s="210" t="s">
        <v>356</v>
      </c>
      <c r="B40" s="179" t="s">
        <v>134</v>
      </c>
      <c r="C40" s="179">
        <v>0</v>
      </c>
      <c r="D40" s="180">
        <v>0</v>
      </c>
      <c r="E40" s="179"/>
      <c r="F40" s="504" t="s">
        <v>134</v>
      </c>
      <c r="G40" s="179">
        <v>0</v>
      </c>
      <c r="H40" s="180">
        <v>0</v>
      </c>
      <c r="I40" s="179"/>
      <c r="J40" s="179" t="s">
        <v>134</v>
      </c>
      <c r="K40" s="179">
        <v>0</v>
      </c>
      <c r="L40" s="180">
        <v>0</v>
      </c>
      <c r="M40" s="575">
        <f t="shared" si="0"/>
        <v>0</v>
      </c>
      <c r="N40" s="576">
        <f t="shared" si="1"/>
        <v>0</v>
      </c>
    </row>
    <row r="41" spans="1:14" s="25" customFormat="1" ht="63" customHeight="1">
      <c r="A41" s="210" t="s">
        <v>357</v>
      </c>
      <c r="B41" s="179" t="s">
        <v>358</v>
      </c>
      <c r="C41" s="179">
        <v>0.33333333333333331</v>
      </c>
      <c r="D41" s="180">
        <v>0</v>
      </c>
      <c r="E41" s="179"/>
      <c r="F41" s="179" t="s">
        <v>174</v>
      </c>
      <c r="G41" s="179">
        <v>0.33333333333333331</v>
      </c>
      <c r="H41" s="180">
        <v>0</v>
      </c>
      <c r="I41" s="179"/>
      <c r="J41" s="179" t="s">
        <v>174</v>
      </c>
      <c r="K41" s="179">
        <v>0.33333333333333331</v>
      </c>
      <c r="L41" s="180">
        <v>0</v>
      </c>
      <c r="M41" s="575">
        <f t="shared" si="0"/>
        <v>1</v>
      </c>
      <c r="N41" s="576">
        <f t="shared" si="1"/>
        <v>0</v>
      </c>
    </row>
    <row r="42" spans="1:14" s="25" customFormat="1" ht="63" customHeight="1">
      <c r="A42" s="210" t="s">
        <v>359</v>
      </c>
      <c r="B42" s="179" t="s">
        <v>649</v>
      </c>
      <c r="C42" s="179">
        <v>0.33333333333333331</v>
      </c>
      <c r="D42" s="180">
        <v>0</v>
      </c>
      <c r="E42" s="179"/>
      <c r="F42" s="179" t="s">
        <v>174</v>
      </c>
      <c r="G42" s="179">
        <v>0.33333333333333331</v>
      </c>
      <c r="H42" s="180">
        <v>0</v>
      </c>
      <c r="I42" s="179"/>
      <c r="J42" s="179" t="s">
        <v>174</v>
      </c>
      <c r="K42" s="179">
        <v>0.33333333333333331</v>
      </c>
      <c r="L42" s="180">
        <v>0</v>
      </c>
      <c r="M42" s="575">
        <f t="shared" si="0"/>
        <v>1</v>
      </c>
      <c r="N42" s="576">
        <f t="shared" si="1"/>
        <v>0</v>
      </c>
    </row>
    <row r="43" spans="1:14" s="25" customFormat="1" ht="63" customHeight="1">
      <c r="A43" s="210" t="s">
        <v>360</v>
      </c>
      <c r="B43" s="179" t="s">
        <v>134</v>
      </c>
      <c r="C43" s="179">
        <v>0</v>
      </c>
      <c r="D43" s="180">
        <v>0</v>
      </c>
      <c r="E43" s="179"/>
      <c r="F43" s="179" t="s">
        <v>134</v>
      </c>
      <c r="G43" s="179">
        <v>0</v>
      </c>
      <c r="H43" s="180">
        <v>0</v>
      </c>
      <c r="I43" s="179"/>
      <c r="J43" s="179" t="s">
        <v>134</v>
      </c>
      <c r="K43" s="179">
        <v>0</v>
      </c>
      <c r="L43" s="180">
        <v>0</v>
      </c>
      <c r="M43" s="575">
        <f t="shared" si="0"/>
        <v>0</v>
      </c>
      <c r="N43" s="576">
        <f t="shared" si="1"/>
        <v>0</v>
      </c>
    </row>
    <row r="44" spans="1:14" s="25" customFormat="1" ht="63" customHeight="1">
      <c r="A44" s="210" t="s">
        <v>361</v>
      </c>
      <c r="B44" s="179" t="s">
        <v>658</v>
      </c>
      <c r="C44" s="179">
        <v>0.33333333333333331</v>
      </c>
      <c r="D44" s="180">
        <v>0</v>
      </c>
      <c r="E44" s="179"/>
      <c r="F44" s="504" t="s">
        <v>174</v>
      </c>
      <c r="G44" s="179">
        <v>0.33333333333333331</v>
      </c>
      <c r="H44" s="180">
        <v>0</v>
      </c>
      <c r="I44" s="179"/>
      <c r="J44" s="179" t="s">
        <v>174</v>
      </c>
      <c r="K44" s="179">
        <v>0.33333333333333331</v>
      </c>
      <c r="L44" s="180">
        <v>0</v>
      </c>
      <c r="M44" s="575">
        <f t="shared" si="0"/>
        <v>1</v>
      </c>
      <c r="N44" s="576">
        <f t="shared" si="1"/>
        <v>0</v>
      </c>
    </row>
    <row r="45" spans="1:14" s="25" customFormat="1" ht="63" customHeight="1">
      <c r="A45" s="210" t="s">
        <v>362</v>
      </c>
      <c r="B45" s="179" t="s">
        <v>654</v>
      </c>
      <c r="C45" s="179">
        <v>0.33333333333333331</v>
      </c>
      <c r="D45" s="180">
        <v>0</v>
      </c>
      <c r="E45" s="179"/>
      <c r="F45" s="179" t="s">
        <v>174</v>
      </c>
      <c r="G45" s="179">
        <v>0.33333333333333331</v>
      </c>
      <c r="H45" s="180">
        <v>0</v>
      </c>
      <c r="I45" s="179"/>
      <c r="J45" s="179" t="s">
        <v>174</v>
      </c>
      <c r="K45" s="179">
        <v>0.33333333333333331</v>
      </c>
      <c r="L45" s="180">
        <v>0</v>
      </c>
      <c r="M45" s="575">
        <f t="shared" si="0"/>
        <v>1</v>
      </c>
      <c r="N45" s="576">
        <f t="shared" si="1"/>
        <v>0</v>
      </c>
    </row>
    <row r="46" spans="1:14" s="25" customFormat="1" ht="63" customHeight="1">
      <c r="A46" s="210" t="s">
        <v>363</v>
      </c>
      <c r="B46" s="179" t="s">
        <v>134</v>
      </c>
      <c r="C46" s="179">
        <v>0</v>
      </c>
      <c r="D46" s="180">
        <v>0</v>
      </c>
      <c r="E46" s="179"/>
      <c r="F46" s="179" t="s">
        <v>134</v>
      </c>
      <c r="G46" s="179">
        <v>0</v>
      </c>
      <c r="H46" s="180">
        <v>0</v>
      </c>
      <c r="I46" s="179"/>
      <c r="J46" s="179" t="s">
        <v>134</v>
      </c>
      <c r="K46" s="179">
        <v>0</v>
      </c>
      <c r="L46" s="180">
        <v>0</v>
      </c>
      <c r="M46" s="575">
        <f t="shared" si="0"/>
        <v>0</v>
      </c>
      <c r="N46" s="576">
        <f t="shared" si="1"/>
        <v>0</v>
      </c>
    </row>
    <row r="47" spans="1:14" s="25" customFormat="1" ht="63" customHeight="1">
      <c r="A47" s="210" t="s">
        <v>364</v>
      </c>
      <c r="B47" s="179" t="s">
        <v>134</v>
      </c>
      <c r="C47" s="179">
        <v>0</v>
      </c>
      <c r="D47" s="180">
        <v>0</v>
      </c>
      <c r="E47" s="179"/>
      <c r="F47" s="179" t="s">
        <v>134</v>
      </c>
      <c r="G47" s="179">
        <v>0</v>
      </c>
      <c r="H47" s="180">
        <v>0</v>
      </c>
      <c r="I47" s="179"/>
      <c r="J47" s="179" t="s">
        <v>134</v>
      </c>
      <c r="K47" s="179">
        <v>0</v>
      </c>
      <c r="L47" s="180">
        <v>0</v>
      </c>
      <c r="M47" s="575">
        <f t="shared" si="0"/>
        <v>0</v>
      </c>
      <c r="N47" s="576">
        <f>D47+H47+L47</f>
        <v>0</v>
      </c>
    </row>
    <row r="48" spans="1:14" s="25" customFormat="1" ht="63" customHeight="1">
      <c r="A48" s="210" t="s">
        <v>365</v>
      </c>
      <c r="B48" s="179" t="s">
        <v>134</v>
      </c>
      <c r="C48" s="179">
        <v>0</v>
      </c>
      <c r="D48" s="180">
        <v>0</v>
      </c>
      <c r="E48" s="179"/>
      <c r="F48" s="179" t="s">
        <v>134</v>
      </c>
      <c r="G48" s="179">
        <v>0</v>
      </c>
      <c r="H48" s="180">
        <v>0</v>
      </c>
      <c r="I48" s="179"/>
      <c r="J48" s="179" t="s">
        <v>134</v>
      </c>
      <c r="K48" s="179">
        <v>0</v>
      </c>
      <c r="L48" s="180">
        <v>0</v>
      </c>
      <c r="M48" s="575">
        <f>SUM(C48,G48,K48)</f>
        <v>0</v>
      </c>
      <c r="N48" s="576">
        <f t="shared" si="1"/>
        <v>0</v>
      </c>
    </row>
    <row r="49" spans="1:14" s="25" customFormat="1" ht="60.75" customHeight="1">
      <c r="A49" s="210" t="s">
        <v>366</v>
      </c>
      <c r="B49" s="583" t="s">
        <v>655</v>
      </c>
      <c r="C49" s="179">
        <v>0.33333333333333331</v>
      </c>
      <c r="D49" s="180">
        <v>0</v>
      </c>
      <c r="E49" s="179"/>
      <c r="F49" s="179" t="s">
        <v>174</v>
      </c>
      <c r="G49" s="179">
        <v>0.33333333333333331</v>
      </c>
      <c r="H49" s="180">
        <v>0</v>
      </c>
      <c r="I49" s="179"/>
      <c r="J49" s="179" t="s">
        <v>174</v>
      </c>
      <c r="K49" s="179">
        <v>0.33333333333333331</v>
      </c>
      <c r="L49" s="180">
        <v>0</v>
      </c>
      <c r="M49" s="575">
        <f t="shared" si="0"/>
        <v>1</v>
      </c>
      <c r="N49" s="576">
        <f t="shared" si="1"/>
        <v>0</v>
      </c>
    </row>
    <row r="50" spans="1:14" s="25" customFormat="1" ht="60.75" customHeight="1">
      <c r="A50" s="210" t="s">
        <v>367</v>
      </c>
      <c r="B50" s="179" t="s">
        <v>134</v>
      </c>
      <c r="C50" s="179">
        <v>0</v>
      </c>
      <c r="D50" s="180">
        <v>0</v>
      </c>
      <c r="E50" s="179"/>
      <c r="F50" s="179" t="s">
        <v>134</v>
      </c>
      <c r="G50" s="179">
        <v>0</v>
      </c>
      <c r="H50" s="180">
        <v>0</v>
      </c>
      <c r="I50" s="179"/>
      <c r="J50" s="179" t="s">
        <v>134</v>
      </c>
      <c r="K50" s="179">
        <v>0</v>
      </c>
      <c r="L50" s="180">
        <v>0</v>
      </c>
      <c r="M50" s="575">
        <f t="shared" si="0"/>
        <v>0</v>
      </c>
      <c r="N50" s="576">
        <f>D50+H50+L50</f>
        <v>0</v>
      </c>
    </row>
    <row r="51" spans="1:14" s="25" customFormat="1" ht="60.75" customHeight="1">
      <c r="A51" s="210" t="s">
        <v>368</v>
      </c>
      <c r="B51" s="179" t="s">
        <v>134</v>
      </c>
      <c r="C51" s="179">
        <v>0</v>
      </c>
      <c r="D51" s="180">
        <v>0</v>
      </c>
      <c r="E51" s="179"/>
      <c r="F51" s="179" t="s">
        <v>134</v>
      </c>
      <c r="G51" s="179">
        <v>0</v>
      </c>
      <c r="H51" s="180">
        <v>0</v>
      </c>
      <c r="I51" s="179"/>
      <c r="J51" s="179" t="s">
        <v>134</v>
      </c>
      <c r="K51" s="179">
        <v>0</v>
      </c>
      <c r="L51" s="180">
        <v>0</v>
      </c>
      <c r="M51" s="575">
        <f t="shared" si="0"/>
        <v>0</v>
      </c>
      <c r="N51" s="576">
        <f t="shared" si="1"/>
        <v>0</v>
      </c>
    </row>
    <row r="52" spans="1:14" s="25" customFormat="1" ht="60.75" customHeight="1">
      <c r="A52" s="210" t="s">
        <v>369</v>
      </c>
      <c r="B52" s="179" t="s">
        <v>134</v>
      </c>
      <c r="C52" s="179">
        <v>0</v>
      </c>
      <c r="D52" s="180">
        <v>0</v>
      </c>
      <c r="E52" s="179"/>
      <c r="F52" s="179" t="s">
        <v>134</v>
      </c>
      <c r="G52" s="179">
        <v>0</v>
      </c>
      <c r="H52" s="180">
        <v>0</v>
      </c>
      <c r="I52" s="179"/>
      <c r="J52" s="179" t="s">
        <v>134</v>
      </c>
      <c r="K52" s="179">
        <v>0</v>
      </c>
      <c r="L52" s="180">
        <v>0</v>
      </c>
      <c r="M52" s="575">
        <f t="shared" si="0"/>
        <v>0</v>
      </c>
      <c r="N52" s="576">
        <f t="shared" si="1"/>
        <v>0</v>
      </c>
    </row>
    <row r="53" spans="1:14" s="25" customFormat="1" ht="60.75" customHeight="1">
      <c r="A53" s="210" t="s">
        <v>370</v>
      </c>
      <c r="B53" s="179" t="s">
        <v>134</v>
      </c>
      <c r="C53" s="179">
        <v>0</v>
      </c>
      <c r="D53" s="180">
        <v>0</v>
      </c>
      <c r="E53" s="179"/>
      <c r="F53" s="179" t="s">
        <v>134</v>
      </c>
      <c r="G53" s="179">
        <v>0</v>
      </c>
      <c r="H53" s="180">
        <v>0</v>
      </c>
      <c r="I53" s="179"/>
      <c r="J53" s="179" t="s">
        <v>134</v>
      </c>
      <c r="K53" s="179">
        <v>0</v>
      </c>
      <c r="L53" s="180">
        <v>0</v>
      </c>
      <c r="M53" s="575">
        <f t="shared" si="0"/>
        <v>0</v>
      </c>
      <c r="N53" s="576">
        <f t="shared" si="1"/>
        <v>0</v>
      </c>
    </row>
    <row r="54" spans="1:14" s="25" customFormat="1" ht="60.75" customHeight="1">
      <c r="A54" s="210" t="s">
        <v>371</v>
      </c>
      <c r="B54" s="179" t="s">
        <v>134</v>
      </c>
      <c r="C54" s="179">
        <v>0</v>
      </c>
      <c r="D54" s="180">
        <v>0</v>
      </c>
      <c r="E54" s="179"/>
      <c r="F54" s="179" t="s">
        <v>134</v>
      </c>
      <c r="G54" s="179">
        <v>0</v>
      </c>
      <c r="H54" s="180">
        <v>0</v>
      </c>
      <c r="I54" s="179"/>
      <c r="J54" s="179" t="s">
        <v>134</v>
      </c>
      <c r="K54" s="179">
        <v>0</v>
      </c>
      <c r="L54" s="180">
        <v>0</v>
      </c>
      <c r="M54" s="575">
        <f t="shared" si="0"/>
        <v>0</v>
      </c>
      <c r="N54" s="576">
        <f t="shared" si="1"/>
        <v>0</v>
      </c>
    </row>
    <row r="55" spans="1:14" s="25" customFormat="1" ht="60.75" customHeight="1">
      <c r="A55" s="210" t="s">
        <v>372</v>
      </c>
      <c r="B55" s="179" t="s">
        <v>373</v>
      </c>
      <c r="C55" s="179">
        <v>0.33333333333333331</v>
      </c>
      <c r="D55" s="180">
        <v>0</v>
      </c>
      <c r="E55" s="179"/>
      <c r="F55" s="179" t="s">
        <v>174</v>
      </c>
      <c r="G55" s="179">
        <v>0.33333333333333331</v>
      </c>
      <c r="H55" s="180">
        <v>0</v>
      </c>
      <c r="I55" s="179"/>
      <c r="J55" s="179" t="s">
        <v>174</v>
      </c>
      <c r="K55" s="179">
        <v>0.33333333333333331</v>
      </c>
      <c r="L55" s="180">
        <v>0</v>
      </c>
      <c r="M55" s="575">
        <f t="shared" si="0"/>
        <v>1</v>
      </c>
      <c r="N55" s="576">
        <f t="shared" si="1"/>
        <v>0</v>
      </c>
    </row>
    <row r="56" spans="1:14" s="25" customFormat="1" ht="60.75" customHeight="1">
      <c r="A56" s="210" t="s">
        <v>374</v>
      </c>
      <c r="B56" s="179" t="s">
        <v>375</v>
      </c>
      <c r="C56" s="179">
        <v>0.33333333333333331</v>
      </c>
      <c r="D56" s="180">
        <v>0</v>
      </c>
      <c r="E56" s="179"/>
      <c r="F56" s="179" t="s">
        <v>174</v>
      </c>
      <c r="G56" s="179">
        <v>0.33333333333333331</v>
      </c>
      <c r="H56" s="180">
        <v>0</v>
      </c>
      <c r="I56" s="179"/>
      <c r="J56" s="179" t="s">
        <v>174</v>
      </c>
      <c r="K56" s="179">
        <v>0.33333333333333331</v>
      </c>
      <c r="L56" s="180">
        <v>0</v>
      </c>
      <c r="M56" s="575">
        <f t="shared" si="0"/>
        <v>1</v>
      </c>
      <c r="N56" s="576">
        <f>D56+H56+L56</f>
        <v>0</v>
      </c>
    </row>
    <row r="57" spans="1:14" s="27" customFormat="1" ht="63" customHeight="1">
      <c r="A57" s="210" t="s">
        <v>376</v>
      </c>
      <c r="B57" s="179" t="s">
        <v>629</v>
      </c>
      <c r="C57" s="179">
        <v>0.33333333333333331</v>
      </c>
      <c r="D57" s="180">
        <v>0</v>
      </c>
      <c r="E57" s="242"/>
      <c r="F57" s="179" t="s">
        <v>174</v>
      </c>
      <c r="G57" s="179">
        <v>0.33333333333333331</v>
      </c>
      <c r="H57" s="180">
        <v>0</v>
      </c>
      <c r="I57" s="132"/>
      <c r="J57" s="179" t="s">
        <v>174</v>
      </c>
      <c r="K57" s="179">
        <v>0.33333333333333331</v>
      </c>
      <c r="L57" s="180">
        <v>0</v>
      </c>
      <c r="M57" s="575">
        <f t="shared" si="0"/>
        <v>1</v>
      </c>
      <c r="N57" s="576">
        <f t="shared" si="1"/>
        <v>0</v>
      </c>
    </row>
    <row r="58" spans="1:14" s="27" customFormat="1" ht="63" customHeight="1">
      <c r="A58" s="210" t="s">
        <v>377</v>
      </c>
      <c r="B58" s="179" t="s">
        <v>134</v>
      </c>
      <c r="C58" s="179">
        <v>0</v>
      </c>
      <c r="D58" s="180">
        <v>0</v>
      </c>
      <c r="E58" s="133"/>
      <c r="F58" s="179" t="s">
        <v>134</v>
      </c>
      <c r="G58" s="179">
        <v>0</v>
      </c>
      <c r="H58" s="180">
        <v>0</v>
      </c>
      <c r="I58" s="132"/>
      <c r="J58" s="179" t="s">
        <v>134</v>
      </c>
      <c r="K58" s="179">
        <v>0</v>
      </c>
      <c r="L58" s="180">
        <v>0</v>
      </c>
      <c r="M58" s="575">
        <f t="shared" si="0"/>
        <v>0</v>
      </c>
      <c r="N58" s="576">
        <f t="shared" si="1"/>
        <v>0</v>
      </c>
    </row>
    <row r="59" spans="1:14" s="27" customFormat="1" ht="63" customHeight="1">
      <c r="A59" s="210" t="s">
        <v>378</v>
      </c>
      <c r="B59" s="179" t="s">
        <v>134</v>
      </c>
      <c r="C59" s="179">
        <v>0</v>
      </c>
      <c r="D59" s="180">
        <v>0</v>
      </c>
      <c r="E59" s="179"/>
      <c r="F59" s="179" t="s">
        <v>134</v>
      </c>
      <c r="G59" s="179">
        <v>0</v>
      </c>
      <c r="H59" s="180">
        <v>0</v>
      </c>
      <c r="I59" s="179"/>
      <c r="J59" s="179" t="s">
        <v>134</v>
      </c>
      <c r="K59" s="179">
        <v>0</v>
      </c>
      <c r="L59" s="180">
        <v>0</v>
      </c>
      <c r="M59" s="575">
        <f t="shared" si="0"/>
        <v>0</v>
      </c>
      <c r="N59" s="576">
        <f t="shared" si="1"/>
        <v>0</v>
      </c>
    </row>
    <row r="60" spans="1:14" s="27" customFormat="1" ht="63" customHeight="1">
      <c r="A60" s="210" t="s">
        <v>379</v>
      </c>
      <c r="B60" s="179" t="s">
        <v>134</v>
      </c>
      <c r="C60" s="179">
        <v>0</v>
      </c>
      <c r="D60" s="180">
        <v>0</v>
      </c>
      <c r="E60" s="179"/>
      <c r="F60" s="179" t="s">
        <v>134</v>
      </c>
      <c r="G60" s="179">
        <v>0</v>
      </c>
      <c r="H60" s="180">
        <v>0</v>
      </c>
      <c r="I60" s="179"/>
      <c r="J60" s="179" t="s">
        <v>134</v>
      </c>
      <c r="K60" s="179">
        <v>0</v>
      </c>
      <c r="L60" s="180">
        <v>0</v>
      </c>
      <c r="M60" s="575">
        <f t="shared" si="0"/>
        <v>0</v>
      </c>
      <c r="N60" s="576">
        <f t="shared" si="1"/>
        <v>0</v>
      </c>
    </row>
    <row r="61" spans="1:14" s="27" customFormat="1" ht="63" customHeight="1">
      <c r="A61" s="210" t="s">
        <v>380</v>
      </c>
      <c r="B61" s="179" t="s">
        <v>134</v>
      </c>
      <c r="C61" s="179">
        <v>0</v>
      </c>
      <c r="D61" s="180">
        <v>0</v>
      </c>
      <c r="E61" s="133"/>
      <c r="F61" s="179" t="s">
        <v>134</v>
      </c>
      <c r="G61" s="179">
        <v>0</v>
      </c>
      <c r="H61" s="180">
        <v>0</v>
      </c>
      <c r="I61" s="132"/>
      <c r="J61" s="179" t="s">
        <v>134</v>
      </c>
      <c r="K61" s="179">
        <v>0</v>
      </c>
      <c r="L61" s="180">
        <v>0</v>
      </c>
      <c r="M61" s="575">
        <f t="shared" si="0"/>
        <v>0</v>
      </c>
      <c r="N61" s="576">
        <f t="shared" si="1"/>
        <v>0</v>
      </c>
    </row>
    <row r="62" spans="1:14" s="27" customFormat="1" ht="63" customHeight="1">
      <c r="A62" s="210" t="s">
        <v>381</v>
      </c>
      <c r="B62" s="179" t="s">
        <v>672</v>
      </c>
      <c r="C62" s="179">
        <v>0.33333333333333331</v>
      </c>
      <c r="D62" s="180">
        <v>0</v>
      </c>
      <c r="E62" s="179"/>
      <c r="F62" s="179" t="s">
        <v>174</v>
      </c>
      <c r="G62" s="179">
        <v>0.33333333333333331</v>
      </c>
      <c r="H62" s="180">
        <v>0</v>
      </c>
      <c r="I62" s="179"/>
      <c r="J62" s="179" t="s">
        <v>174</v>
      </c>
      <c r="K62" s="179">
        <v>0.33333333333333331</v>
      </c>
      <c r="L62" s="180">
        <v>0</v>
      </c>
      <c r="M62" s="575">
        <f t="shared" si="0"/>
        <v>1</v>
      </c>
      <c r="N62" s="576">
        <f t="shared" si="1"/>
        <v>0</v>
      </c>
    </row>
    <row r="63" spans="1:14" s="27" customFormat="1" ht="63" customHeight="1">
      <c r="A63" s="210" t="s">
        <v>382</v>
      </c>
      <c r="B63" s="179" t="s">
        <v>134</v>
      </c>
      <c r="C63" s="179">
        <v>0</v>
      </c>
      <c r="D63" s="180">
        <v>0</v>
      </c>
      <c r="E63" s="179"/>
      <c r="F63" s="179" t="s">
        <v>134</v>
      </c>
      <c r="G63" s="179">
        <v>0</v>
      </c>
      <c r="H63" s="180">
        <v>0</v>
      </c>
      <c r="I63" s="179"/>
      <c r="J63" s="179" t="s">
        <v>134</v>
      </c>
      <c r="K63" s="179">
        <v>0</v>
      </c>
      <c r="L63" s="180">
        <v>0</v>
      </c>
      <c r="M63" s="575">
        <f t="shared" si="0"/>
        <v>0</v>
      </c>
      <c r="N63" s="576">
        <f t="shared" si="1"/>
        <v>0</v>
      </c>
    </row>
    <row r="64" spans="1:14" s="27" customFormat="1" ht="63" customHeight="1">
      <c r="A64" s="210" t="s">
        <v>383</v>
      </c>
      <c r="B64" s="179" t="s">
        <v>644</v>
      </c>
      <c r="C64" s="179">
        <v>0.33333333333333331</v>
      </c>
      <c r="D64" s="180">
        <v>0</v>
      </c>
      <c r="E64" s="133"/>
      <c r="F64" s="179" t="s">
        <v>174</v>
      </c>
      <c r="G64" s="179">
        <v>0.33333333333333331</v>
      </c>
      <c r="H64" s="180">
        <v>0</v>
      </c>
      <c r="I64" s="132"/>
      <c r="J64" s="179" t="s">
        <v>174</v>
      </c>
      <c r="K64" s="179">
        <v>0.33333333333333331</v>
      </c>
      <c r="L64" s="180">
        <v>0</v>
      </c>
      <c r="M64" s="575">
        <f t="shared" si="0"/>
        <v>1</v>
      </c>
      <c r="N64" s="576">
        <f t="shared" si="1"/>
        <v>0</v>
      </c>
    </row>
    <row r="65" spans="1:14" s="27" customFormat="1" ht="63" customHeight="1">
      <c r="A65" s="210" t="s">
        <v>384</v>
      </c>
      <c r="B65" s="179" t="s">
        <v>134</v>
      </c>
      <c r="C65" s="179">
        <v>0</v>
      </c>
      <c r="D65" s="180">
        <v>0</v>
      </c>
      <c r="E65" s="133"/>
      <c r="F65" s="179" t="s">
        <v>134</v>
      </c>
      <c r="G65" s="179">
        <v>0</v>
      </c>
      <c r="H65" s="180">
        <v>0</v>
      </c>
      <c r="I65" s="132"/>
      <c r="J65" s="179" t="s">
        <v>134</v>
      </c>
      <c r="K65" s="179">
        <v>0</v>
      </c>
      <c r="L65" s="180">
        <v>0</v>
      </c>
      <c r="M65" s="575">
        <f>SUM(C65,G65,K65)</f>
        <v>0</v>
      </c>
      <c r="N65" s="576">
        <f>D65+H65+L65</f>
        <v>0</v>
      </c>
    </row>
    <row r="66" spans="1:14" s="27" customFormat="1" ht="63" customHeight="1">
      <c r="A66" s="210" t="s">
        <v>385</v>
      </c>
      <c r="B66" s="179" t="s">
        <v>134</v>
      </c>
      <c r="C66" s="179">
        <v>0</v>
      </c>
      <c r="D66" s="180">
        <v>0</v>
      </c>
      <c r="E66" s="133"/>
      <c r="F66" s="179" t="s">
        <v>134</v>
      </c>
      <c r="G66" s="179">
        <v>0</v>
      </c>
      <c r="H66" s="180">
        <v>0</v>
      </c>
      <c r="I66" s="132"/>
      <c r="J66" s="179" t="s">
        <v>134</v>
      </c>
      <c r="K66" s="179">
        <v>0</v>
      </c>
      <c r="L66" s="180">
        <v>0</v>
      </c>
      <c r="M66" s="575">
        <f>SUM(C66,G66,K66)</f>
        <v>0</v>
      </c>
      <c r="N66" s="576">
        <f t="shared" si="1"/>
        <v>0</v>
      </c>
    </row>
    <row r="67" spans="1:14" s="27" customFormat="1" ht="63" customHeight="1">
      <c r="A67" s="210" t="s">
        <v>386</v>
      </c>
      <c r="B67" s="179" t="s">
        <v>134</v>
      </c>
      <c r="C67" s="179">
        <v>0</v>
      </c>
      <c r="D67" s="180">
        <v>0</v>
      </c>
      <c r="E67" s="133"/>
      <c r="F67" s="179" t="s">
        <v>134</v>
      </c>
      <c r="G67" s="179">
        <v>0</v>
      </c>
      <c r="H67" s="180">
        <v>0</v>
      </c>
      <c r="I67" s="132"/>
      <c r="J67" s="179" t="s">
        <v>134</v>
      </c>
      <c r="K67" s="179">
        <v>0</v>
      </c>
      <c r="L67" s="180">
        <v>0</v>
      </c>
      <c r="M67" s="575">
        <f t="shared" si="0"/>
        <v>0</v>
      </c>
      <c r="N67" s="576">
        <f t="shared" si="1"/>
        <v>0</v>
      </c>
    </row>
    <row r="68" spans="1:14" s="27" customFormat="1" ht="63" customHeight="1">
      <c r="A68" s="210" t="s">
        <v>387</v>
      </c>
      <c r="B68" s="179" t="s">
        <v>134</v>
      </c>
      <c r="C68" s="179">
        <v>0</v>
      </c>
      <c r="D68" s="180">
        <v>0</v>
      </c>
      <c r="E68" s="133"/>
      <c r="F68" s="179" t="s">
        <v>134</v>
      </c>
      <c r="G68" s="179">
        <v>0</v>
      </c>
      <c r="H68" s="180">
        <v>0</v>
      </c>
      <c r="I68" s="132"/>
      <c r="J68" s="179" t="s">
        <v>134</v>
      </c>
      <c r="K68" s="179">
        <v>0</v>
      </c>
      <c r="L68" s="180">
        <v>0</v>
      </c>
      <c r="M68" s="575">
        <f t="shared" ref="M68:M129" si="2">SUM(C68,G68,K68)</f>
        <v>0</v>
      </c>
      <c r="N68" s="576">
        <f t="shared" ref="N68:N129" si="3">D68+H68+L68</f>
        <v>0</v>
      </c>
    </row>
    <row r="69" spans="1:14" s="27" customFormat="1" ht="63" customHeight="1">
      <c r="A69" s="210" t="s">
        <v>388</v>
      </c>
      <c r="B69" s="179" t="s">
        <v>134</v>
      </c>
      <c r="C69" s="179">
        <v>0</v>
      </c>
      <c r="D69" s="524">
        <v>0</v>
      </c>
      <c r="E69" s="525"/>
      <c r="F69" s="179" t="s">
        <v>134</v>
      </c>
      <c r="G69" s="179">
        <v>0</v>
      </c>
      <c r="H69" s="180">
        <v>0</v>
      </c>
      <c r="I69" s="132"/>
      <c r="J69" s="179" t="s">
        <v>134</v>
      </c>
      <c r="K69" s="179">
        <v>0</v>
      </c>
      <c r="L69" s="180">
        <v>0</v>
      </c>
      <c r="M69" s="575">
        <f t="shared" si="2"/>
        <v>0</v>
      </c>
      <c r="N69" s="576">
        <f t="shared" si="3"/>
        <v>0</v>
      </c>
    </row>
    <row r="70" spans="1:14" s="27" customFormat="1" ht="63" customHeight="1">
      <c r="A70" s="210" t="s">
        <v>389</v>
      </c>
      <c r="B70" s="179" t="s">
        <v>134</v>
      </c>
      <c r="C70" s="179">
        <v>0</v>
      </c>
      <c r="D70" s="180">
        <v>0</v>
      </c>
      <c r="E70" s="133"/>
      <c r="F70" s="179" t="s">
        <v>134</v>
      </c>
      <c r="G70" s="179">
        <v>0</v>
      </c>
      <c r="H70" s="180">
        <v>0</v>
      </c>
      <c r="I70" s="132"/>
      <c r="J70" s="179" t="s">
        <v>134</v>
      </c>
      <c r="K70" s="179">
        <v>0</v>
      </c>
      <c r="L70" s="180">
        <v>0</v>
      </c>
      <c r="M70" s="575">
        <f t="shared" si="2"/>
        <v>0</v>
      </c>
      <c r="N70" s="576">
        <f t="shared" si="3"/>
        <v>0</v>
      </c>
    </row>
    <row r="71" spans="1:14" s="27" customFormat="1" ht="63" customHeight="1">
      <c r="A71" s="210" t="s">
        <v>390</v>
      </c>
      <c r="B71" s="179" t="s">
        <v>134</v>
      </c>
      <c r="C71" s="179">
        <v>0</v>
      </c>
      <c r="D71" s="180">
        <v>0</v>
      </c>
      <c r="E71" s="133"/>
      <c r="F71" s="179" t="s">
        <v>134</v>
      </c>
      <c r="G71" s="179">
        <v>0</v>
      </c>
      <c r="H71" s="180">
        <v>0</v>
      </c>
      <c r="I71" s="132"/>
      <c r="J71" s="179" t="s">
        <v>134</v>
      </c>
      <c r="K71" s="179">
        <v>0</v>
      </c>
      <c r="L71" s="180">
        <v>0</v>
      </c>
      <c r="M71" s="575">
        <f t="shared" si="2"/>
        <v>0</v>
      </c>
      <c r="N71" s="576">
        <f t="shared" si="3"/>
        <v>0</v>
      </c>
    </row>
    <row r="72" spans="1:14" s="27" customFormat="1" ht="63" customHeight="1">
      <c r="A72" s="210" t="s">
        <v>391</v>
      </c>
      <c r="B72" s="179" t="s">
        <v>392</v>
      </c>
      <c r="C72" s="179">
        <v>0.33333333333333331</v>
      </c>
      <c r="D72" s="180">
        <v>0</v>
      </c>
      <c r="E72" s="133"/>
      <c r="F72" s="179" t="s">
        <v>174</v>
      </c>
      <c r="G72" s="179">
        <v>0.33333333333333331</v>
      </c>
      <c r="H72" s="418">
        <v>0</v>
      </c>
      <c r="I72" s="132"/>
      <c r="J72" s="179" t="s">
        <v>174</v>
      </c>
      <c r="K72" s="179">
        <v>0.33333333333333331</v>
      </c>
      <c r="L72" s="180">
        <v>0</v>
      </c>
      <c r="M72" s="575">
        <f t="shared" si="2"/>
        <v>1</v>
      </c>
      <c r="N72" s="576">
        <f t="shared" si="3"/>
        <v>0</v>
      </c>
    </row>
    <row r="73" spans="1:14" s="27" customFormat="1" ht="63" customHeight="1">
      <c r="A73" s="210" t="s">
        <v>393</v>
      </c>
      <c r="B73" s="179" t="s">
        <v>667</v>
      </c>
      <c r="C73" s="179">
        <v>0.33333333333333331</v>
      </c>
      <c r="D73" s="180">
        <v>0</v>
      </c>
      <c r="E73" s="133"/>
      <c r="F73" s="179" t="s">
        <v>174</v>
      </c>
      <c r="G73" s="179">
        <v>0.33333333333333331</v>
      </c>
      <c r="H73" s="180">
        <v>0</v>
      </c>
      <c r="I73" s="132"/>
      <c r="J73" s="179" t="s">
        <v>174</v>
      </c>
      <c r="K73" s="179">
        <v>0.33333333333333331</v>
      </c>
      <c r="L73" s="180">
        <v>0</v>
      </c>
      <c r="M73" s="575">
        <f t="shared" si="2"/>
        <v>1</v>
      </c>
      <c r="N73" s="576">
        <f t="shared" si="3"/>
        <v>0</v>
      </c>
    </row>
    <row r="74" spans="1:14" s="27" customFormat="1" ht="63" customHeight="1">
      <c r="A74" s="210" t="s">
        <v>394</v>
      </c>
      <c r="B74" s="179" t="s">
        <v>134</v>
      </c>
      <c r="C74" s="179">
        <v>0</v>
      </c>
      <c r="D74" s="180">
        <v>0</v>
      </c>
      <c r="E74" s="133"/>
      <c r="F74" s="179" t="s">
        <v>134</v>
      </c>
      <c r="G74" s="179">
        <v>0</v>
      </c>
      <c r="H74" s="180">
        <v>0</v>
      </c>
      <c r="I74" s="132"/>
      <c r="J74" s="179" t="s">
        <v>134</v>
      </c>
      <c r="K74" s="179">
        <v>0</v>
      </c>
      <c r="L74" s="180">
        <v>0</v>
      </c>
      <c r="M74" s="575">
        <f t="shared" si="2"/>
        <v>0</v>
      </c>
      <c r="N74" s="576">
        <f t="shared" si="3"/>
        <v>0</v>
      </c>
    </row>
    <row r="75" spans="1:14" s="27" customFormat="1" ht="63" customHeight="1">
      <c r="A75" s="210" t="s">
        <v>395</v>
      </c>
      <c r="B75" s="179" t="s">
        <v>134</v>
      </c>
      <c r="C75" s="179">
        <v>0</v>
      </c>
      <c r="D75" s="180">
        <v>0</v>
      </c>
      <c r="E75" s="133"/>
      <c r="F75" s="179" t="s">
        <v>134</v>
      </c>
      <c r="G75" s="179">
        <v>0</v>
      </c>
      <c r="H75" s="180">
        <v>0</v>
      </c>
      <c r="I75" s="132"/>
      <c r="J75" s="179" t="s">
        <v>134</v>
      </c>
      <c r="K75" s="179">
        <v>0</v>
      </c>
      <c r="L75" s="180">
        <v>0</v>
      </c>
      <c r="M75" s="575">
        <f t="shared" si="2"/>
        <v>0</v>
      </c>
      <c r="N75" s="576">
        <f>D75+H75+L75</f>
        <v>0</v>
      </c>
    </row>
    <row r="76" spans="1:14" s="27" customFormat="1" ht="63" customHeight="1">
      <c r="A76" s="210" t="s">
        <v>396</v>
      </c>
      <c r="B76" s="179" t="s">
        <v>134</v>
      </c>
      <c r="C76" s="179">
        <v>0</v>
      </c>
      <c r="D76" s="180">
        <v>0</v>
      </c>
      <c r="E76" s="133"/>
      <c r="F76" s="179" t="s">
        <v>134</v>
      </c>
      <c r="G76" s="179">
        <v>0</v>
      </c>
      <c r="H76" s="180">
        <v>0</v>
      </c>
      <c r="I76" s="132"/>
      <c r="J76" s="179" t="s">
        <v>134</v>
      </c>
      <c r="K76" s="179">
        <v>0</v>
      </c>
      <c r="L76" s="180">
        <v>0</v>
      </c>
      <c r="M76" s="575">
        <f t="shared" si="2"/>
        <v>0</v>
      </c>
      <c r="N76" s="576">
        <f t="shared" si="3"/>
        <v>0</v>
      </c>
    </row>
    <row r="77" spans="1:14" s="27" customFormat="1" ht="63" customHeight="1">
      <c r="A77" s="210" t="s">
        <v>397</v>
      </c>
      <c r="B77" s="179" t="s">
        <v>134</v>
      </c>
      <c r="C77" s="179">
        <v>0</v>
      </c>
      <c r="D77" s="180">
        <v>0</v>
      </c>
      <c r="E77" s="133"/>
      <c r="F77" s="179" t="s">
        <v>134</v>
      </c>
      <c r="G77" s="179">
        <v>0</v>
      </c>
      <c r="H77" s="180">
        <v>0</v>
      </c>
      <c r="I77" s="132"/>
      <c r="J77" s="179" t="s">
        <v>134</v>
      </c>
      <c r="K77" s="179">
        <v>0</v>
      </c>
      <c r="L77" s="180">
        <v>0</v>
      </c>
      <c r="M77" s="575">
        <f t="shared" si="2"/>
        <v>0</v>
      </c>
      <c r="N77" s="576">
        <f t="shared" si="3"/>
        <v>0</v>
      </c>
    </row>
    <row r="78" spans="1:14" s="27" customFormat="1" ht="63" customHeight="1">
      <c r="A78" s="210" t="s">
        <v>398</v>
      </c>
      <c r="B78" s="179" t="s">
        <v>134</v>
      </c>
      <c r="C78" s="179">
        <v>0</v>
      </c>
      <c r="D78" s="180">
        <v>0</v>
      </c>
      <c r="E78" s="133"/>
      <c r="F78" s="179" t="s">
        <v>134</v>
      </c>
      <c r="G78" s="179">
        <v>0</v>
      </c>
      <c r="H78" s="180">
        <v>0</v>
      </c>
      <c r="I78" s="132"/>
      <c r="J78" s="179" t="s">
        <v>134</v>
      </c>
      <c r="K78" s="179">
        <v>0</v>
      </c>
      <c r="L78" s="180">
        <v>0</v>
      </c>
      <c r="M78" s="575">
        <f t="shared" si="2"/>
        <v>0</v>
      </c>
      <c r="N78" s="576">
        <f t="shared" si="3"/>
        <v>0</v>
      </c>
    </row>
    <row r="79" spans="1:14" s="27" customFormat="1" ht="63" customHeight="1">
      <c r="A79" s="210" t="s">
        <v>399</v>
      </c>
      <c r="B79" s="179" t="s">
        <v>134</v>
      </c>
      <c r="C79" s="179">
        <v>0</v>
      </c>
      <c r="D79" s="180">
        <v>0</v>
      </c>
      <c r="E79" s="133"/>
      <c r="F79" s="179" t="s">
        <v>134</v>
      </c>
      <c r="G79" s="179">
        <v>0</v>
      </c>
      <c r="H79" s="180">
        <v>0</v>
      </c>
      <c r="I79" s="132"/>
      <c r="J79" s="179" t="s">
        <v>134</v>
      </c>
      <c r="K79" s="179">
        <v>0</v>
      </c>
      <c r="L79" s="180">
        <v>0</v>
      </c>
      <c r="M79" s="575">
        <f t="shared" si="2"/>
        <v>0</v>
      </c>
      <c r="N79" s="576">
        <f t="shared" si="3"/>
        <v>0</v>
      </c>
    </row>
    <row r="80" spans="1:14" s="27" customFormat="1" ht="63" customHeight="1">
      <c r="A80" s="210" t="s">
        <v>400</v>
      </c>
      <c r="B80" s="179" t="s">
        <v>134</v>
      </c>
      <c r="C80" s="179">
        <v>0</v>
      </c>
      <c r="D80" s="180">
        <v>0</v>
      </c>
      <c r="E80" s="133"/>
      <c r="F80" s="179" t="s">
        <v>134</v>
      </c>
      <c r="G80" s="179">
        <v>0</v>
      </c>
      <c r="H80" s="180">
        <v>0</v>
      </c>
      <c r="I80" s="132"/>
      <c r="J80" s="179" t="s">
        <v>134</v>
      </c>
      <c r="K80" s="179">
        <v>0</v>
      </c>
      <c r="L80" s="180">
        <v>0</v>
      </c>
      <c r="M80" s="575">
        <f t="shared" si="2"/>
        <v>0</v>
      </c>
      <c r="N80" s="576">
        <f t="shared" si="3"/>
        <v>0</v>
      </c>
    </row>
    <row r="81" spans="1:14" s="27" customFormat="1" ht="63" customHeight="1">
      <c r="A81" s="210" t="s">
        <v>401</v>
      </c>
      <c r="B81" s="179" t="s">
        <v>134</v>
      </c>
      <c r="C81" s="179">
        <v>0</v>
      </c>
      <c r="D81" s="180">
        <v>0</v>
      </c>
      <c r="E81" s="133"/>
      <c r="F81" s="179" t="s">
        <v>134</v>
      </c>
      <c r="G81" s="179">
        <v>0</v>
      </c>
      <c r="H81" s="180">
        <v>0</v>
      </c>
      <c r="I81" s="132"/>
      <c r="J81" s="179" t="s">
        <v>134</v>
      </c>
      <c r="K81" s="179">
        <v>0</v>
      </c>
      <c r="L81" s="180">
        <v>0</v>
      </c>
      <c r="M81" s="575">
        <f t="shared" si="2"/>
        <v>0</v>
      </c>
      <c r="N81" s="576">
        <f t="shared" si="3"/>
        <v>0</v>
      </c>
    </row>
    <row r="82" spans="1:14" s="27" customFormat="1" ht="63" customHeight="1">
      <c r="A82" s="210" t="s">
        <v>402</v>
      </c>
      <c r="B82" s="179" t="s">
        <v>134</v>
      </c>
      <c r="C82" s="179">
        <v>0</v>
      </c>
      <c r="D82" s="180">
        <v>0</v>
      </c>
      <c r="E82" s="133"/>
      <c r="F82" s="179" t="s">
        <v>134</v>
      </c>
      <c r="G82" s="179">
        <v>0</v>
      </c>
      <c r="H82" s="180">
        <v>0</v>
      </c>
      <c r="I82" s="132"/>
      <c r="J82" s="179" t="s">
        <v>134</v>
      </c>
      <c r="K82" s="179">
        <v>0</v>
      </c>
      <c r="L82" s="180">
        <v>0</v>
      </c>
      <c r="M82" s="575">
        <f t="shared" si="2"/>
        <v>0</v>
      </c>
      <c r="N82" s="576">
        <f t="shared" si="3"/>
        <v>0</v>
      </c>
    </row>
    <row r="83" spans="1:14" s="27" customFormat="1" ht="63" customHeight="1">
      <c r="A83" s="210" t="s">
        <v>403</v>
      </c>
      <c r="B83" s="179" t="s">
        <v>134</v>
      </c>
      <c r="C83" s="179">
        <v>0</v>
      </c>
      <c r="D83" s="180">
        <v>0</v>
      </c>
      <c r="E83" s="133"/>
      <c r="F83" s="179" t="s">
        <v>134</v>
      </c>
      <c r="G83" s="179">
        <v>0</v>
      </c>
      <c r="H83" s="180">
        <v>0</v>
      </c>
      <c r="I83" s="132"/>
      <c r="J83" s="179" t="s">
        <v>134</v>
      </c>
      <c r="K83" s="179">
        <v>0</v>
      </c>
      <c r="L83" s="180">
        <v>0</v>
      </c>
      <c r="M83" s="575">
        <f t="shared" si="2"/>
        <v>0</v>
      </c>
      <c r="N83" s="576">
        <f t="shared" si="3"/>
        <v>0</v>
      </c>
    </row>
    <row r="84" spans="1:14" s="27" customFormat="1" ht="63" customHeight="1">
      <c r="A84" s="210" t="s">
        <v>406</v>
      </c>
      <c r="B84" s="179" t="s">
        <v>134</v>
      </c>
      <c r="C84" s="179">
        <v>0</v>
      </c>
      <c r="D84" s="180">
        <v>0</v>
      </c>
      <c r="E84" s="133"/>
      <c r="F84" s="179" t="s">
        <v>134</v>
      </c>
      <c r="G84" s="179">
        <v>0</v>
      </c>
      <c r="H84" s="180">
        <v>0</v>
      </c>
      <c r="I84" s="132"/>
      <c r="J84" s="179" t="s">
        <v>134</v>
      </c>
      <c r="K84" s="179">
        <v>0</v>
      </c>
      <c r="L84" s="180">
        <v>0</v>
      </c>
      <c r="M84" s="575">
        <f t="shared" si="2"/>
        <v>0</v>
      </c>
      <c r="N84" s="576">
        <f t="shared" si="3"/>
        <v>0</v>
      </c>
    </row>
    <row r="85" spans="1:14" s="27" customFormat="1" ht="63" customHeight="1">
      <c r="A85" s="210" t="s">
        <v>407</v>
      </c>
      <c r="B85" s="179" t="s">
        <v>134</v>
      </c>
      <c r="C85" s="179">
        <v>0</v>
      </c>
      <c r="D85" s="180">
        <v>0</v>
      </c>
      <c r="E85" s="133"/>
      <c r="F85" s="179" t="s">
        <v>134</v>
      </c>
      <c r="G85" s="179">
        <v>0</v>
      </c>
      <c r="H85" s="180">
        <v>0</v>
      </c>
      <c r="I85" s="132"/>
      <c r="J85" s="179" t="s">
        <v>134</v>
      </c>
      <c r="K85" s="179">
        <v>0</v>
      </c>
      <c r="L85" s="180">
        <v>0</v>
      </c>
      <c r="M85" s="575">
        <f t="shared" si="2"/>
        <v>0</v>
      </c>
      <c r="N85" s="576">
        <f t="shared" si="3"/>
        <v>0</v>
      </c>
    </row>
    <row r="86" spans="1:14" s="27" customFormat="1" ht="63" customHeight="1">
      <c r="A86" s="210" t="s">
        <v>408</v>
      </c>
      <c r="B86" s="179" t="s">
        <v>134</v>
      </c>
      <c r="C86" s="179">
        <v>0</v>
      </c>
      <c r="D86" s="180">
        <v>0</v>
      </c>
      <c r="E86" s="133"/>
      <c r="F86" s="179" t="s">
        <v>134</v>
      </c>
      <c r="G86" s="179">
        <v>0</v>
      </c>
      <c r="H86" s="180">
        <v>0</v>
      </c>
      <c r="I86" s="132"/>
      <c r="J86" s="179" t="s">
        <v>134</v>
      </c>
      <c r="K86" s="179">
        <v>0</v>
      </c>
      <c r="L86" s="180">
        <v>0</v>
      </c>
      <c r="M86" s="575">
        <f t="shared" si="2"/>
        <v>0</v>
      </c>
      <c r="N86" s="576">
        <f t="shared" si="3"/>
        <v>0</v>
      </c>
    </row>
    <row r="87" spans="1:14" s="27" customFormat="1" ht="63" customHeight="1">
      <c r="A87" s="210" t="s">
        <v>409</v>
      </c>
      <c r="B87" s="179" t="s">
        <v>134</v>
      </c>
      <c r="C87" s="179">
        <v>0</v>
      </c>
      <c r="D87" s="180">
        <v>0</v>
      </c>
      <c r="E87" s="133"/>
      <c r="F87" s="179" t="s">
        <v>134</v>
      </c>
      <c r="G87" s="179">
        <v>0</v>
      </c>
      <c r="H87" s="180">
        <v>0</v>
      </c>
      <c r="I87" s="132"/>
      <c r="J87" s="179" t="s">
        <v>134</v>
      </c>
      <c r="K87" s="179">
        <v>0</v>
      </c>
      <c r="L87" s="180">
        <v>0</v>
      </c>
      <c r="M87" s="575">
        <f t="shared" si="2"/>
        <v>0</v>
      </c>
      <c r="N87" s="576">
        <f t="shared" si="3"/>
        <v>0</v>
      </c>
    </row>
    <row r="88" spans="1:14" s="27" customFormat="1" ht="63" customHeight="1">
      <c r="A88" s="210" t="s">
        <v>410</v>
      </c>
      <c r="B88" s="179" t="s">
        <v>134</v>
      </c>
      <c r="C88" s="179">
        <v>0</v>
      </c>
      <c r="D88" s="180">
        <v>0</v>
      </c>
      <c r="E88" s="133"/>
      <c r="F88" s="179" t="s">
        <v>134</v>
      </c>
      <c r="G88" s="179">
        <v>0</v>
      </c>
      <c r="H88" s="180">
        <v>0</v>
      </c>
      <c r="I88" s="132"/>
      <c r="J88" s="179" t="s">
        <v>134</v>
      </c>
      <c r="K88" s="179">
        <v>0</v>
      </c>
      <c r="L88" s="180">
        <v>0</v>
      </c>
      <c r="M88" s="575">
        <f t="shared" si="2"/>
        <v>0</v>
      </c>
      <c r="N88" s="576">
        <f t="shared" si="3"/>
        <v>0</v>
      </c>
    </row>
    <row r="89" spans="1:14" s="27" customFormat="1" ht="63" customHeight="1">
      <c r="A89" s="210" t="s">
        <v>411</v>
      </c>
      <c r="B89" s="179" t="s">
        <v>682</v>
      </c>
      <c r="C89" s="179">
        <v>1.3888888888888888E-2</v>
      </c>
      <c r="D89" s="180">
        <v>1</v>
      </c>
      <c r="E89" s="133"/>
      <c r="F89" s="179" t="s">
        <v>702</v>
      </c>
      <c r="G89" s="179">
        <v>1.0416666666666666E-2</v>
      </c>
      <c r="H89" s="180">
        <v>1</v>
      </c>
      <c r="I89" s="132"/>
      <c r="J89" s="179" t="s">
        <v>699</v>
      </c>
      <c r="K89" s="179">
        <v>2.0833333333333332E-2</v>
      </c>
      <c r="L89" s="180">
        <v>1</v>
      </c>
      <c r="M89" s="575">
        <f t="shared" si="2"/>
        <v>4.5138888888888881E-2</v>
      </c>
      <c r="N89" s="576">
        <f t="shared" si="3"/>
        <v>3</v>
      </c>
    </row>
    <row r="90" spans="1:14" s="27" customFormat="1" ht="63" customHeight="1">
      <c r="A90" s="210" t="s">
        <v>412</v>
      </c>
      <c r="B90" s="179" t="s">
        <v>134</v>
      </c>
      <c r="C90" s="179">
        <v>0</v>
      </c>
      <c r="D90" s="180">
        <v>0</v>
      </c>
      <c r="E90" s="133"/>
      <c r="F90" s="179" t="s">
        <v>134</v>
      </c>
      <c r="G90" s="179">
        <v>0</v>
      </c>
      <c r="H90" s="180">
        <v>0</v>
      </c>
      <c r="I90" s="132"/>
      <c r="J90" s="179" t="s">
        <v>134</v>
      </c>
      <c r="K90" s="179">
        <v>0</v>
      </c>
      <c r="L90" s="180">
        <v>0</v>
      </c>
      <c r="M90" s="575">
        <f t="shared" si="2"/>
        <v>0</v>
      </c>
      <c r="N90" s="576">
        <f t="shared" si="3"/>
        <v>0</v>
      </c>
    </row>
    <row r="91" spans="1:14" s="27" customFormat="1" ht="63" customHeight="1">
      <c r="A91" s="210" t="s">
        <v>413</v>
      </c>
      <c r="B91" s="179" t="s">
        <v>134</v>
      </c>
      <c r="C91" s="179">
        <v>0</v>
      </c>
      <c r="D91" s="180">
        <v>0</v>
      </c>
      <c r="E91" s="133"/>
      <c r="F91" s="179" t="s">
        <v>134</v>
      </c>
      <c r="G91" s="179">
        <v>0</v>
      </c>
      <c r="H91" s="180">
        <v>0</v>
      </c>
      <c r="I91" s="132"/>
      <c r="J91" s="179" t="s">
        <v>134</v>
      </c>
      <c r="K91" s="179">
        <v>0</v>
      </c>
      <c r="L91" s="180">
        <v>0</v>
      </c>
      <c r="M91" s="575">
        <f t="shared" si="2"/>
        <v>0</v>
      </c>
      <c r="N91" s="576">
        <f t="shared" si="3"/>
        <v>0</v>
      </c>
    </row>
    <row r="92" spans="1:14" s="27" customFormat="1" ht="63" customHeight="1">
      <c r="A92" s="210" t="s">
        <v>414</v>
      </c>
      <c r="B92" s="179" t="s">
        <v>134</v>
      </c>
      <c r="C92" s="179">
        <v>0</v>
      </c>
      <c r="D92" s="180">
        <v>0</v>
      </c>
      <c r="E92" s="133"/>
      <c r="F92" s="179" t="s">
        <v>134</v>
      </c>
      <c r="G92" s="179">
        <v>0</v>
      </c>
      <c r="H92" s="180">
        <v>0</v>
      </c>
      <c r="I92" s="132"/>
      <c r="J92" s="179" t="s">
        <v>134</v>
      </c>
      <c r="K92" s="179">
        <v>0</v>
      </c>
      <c r="L92" s="180">
        <v>0</v>
      </c>
      <c r="M92" s="575">
        <f t="shared" si="2"/>
        <v>0</v>
      </c>
      <c r="N92" s="576">
        <f t="shared" si="3"/>
        <v>0</v>
      </c>
    </row>
    <row r="93" spans="1:14" s="27" customFormat="1" ht="63" customHeight="1">
      <c r="A93" s="210" t="s">
        <v>415</v>
      </c>
      <c r="B93" s="179" t="s">
        <v>134</v>
      </c>
      <c r="C93" s="179">
        <v>0</v>
      </c>
      <c r="D93" s="180">
        <v>0</v>
      </c>
      <c r="E93" s="133"/>
      <c r="F93" s="179" t="s">
        <v>134</v>
      </c>
      <c r="G93" s="179">
        <v>0</v>
      </c>
      <c r="H93" s="180">
        <v>0</v>
      </c>
      <c r="I93" s="132"/>
      <c r="J93" s="179" t="s">
        <v>134</v>
      </c>
      <c r="K93" s="179">
        <v>0</v>
      </c>
      <c r="L93" s="180">
        <v>0</v>
      </c>
      <c r="M93" s="575">
        <f t="shared" si="2"/>
        <v>0</v>
      </c>
      <c r="N93" s="576">
        <f t="shared" si="3"/>
        <v>0</v>
      </c>
    </row>
    <row r="94" spans="1:14" s="27" customFormat="1" ht="63" customHeight="1">
      <c r="A94" s="210" t="s">
        <v>416</v>
      </c>
      <c r="B94" s="179" t="s">
        <v>134</v>
      </c>
      <c r="C94" s="179">
        <v>0</v>
      </c>
      <c r="D94" s="180">
        <v>0</v>
      </c>
      <c r="E94" s="133"/>
      <c r="F94" s="179" t="s">
        <v>134</v>
      </c>
      <c r="G94" s="179">
        <v>0</v>
      </c>
      <c r="H94" s="180">
        <v>0</v>
      </c>
      <c r="I94" s="132"/>
      <c r="J94" s="179" t="s">
        <v>134</v>
      </c>
      <c r="K94" s="179">
        <v>0</v>
      </c>
      <c r="L94" s="180">
        <v>0</v>
      </c>
      <c r="M94" s="575">
        <f t="shared" si="2"/>
        <v>0</v>
      </c>
      <c r="N94" s="576">
        <f t="shared" si="3"/>
        <v>0</v>
      </c>
    </row>
    <row r="95" spans="1:14" s="27" customFormat="1" ht="63" customHeight="1">
      <c r="A95" s="210" t="s">
        <v>417</v>
      </c>
      <c r="B95" s="504" t="s">
        <v>134</v>
      </c>
      <c r="C95" s="179">
        <v>0</v>
      </c>
      <c r="D95" s="180">
        <v>0</v>
      </c>
      <c r="E95" s="133"/>
      <c r="F95" s="179" t="s">
        <v>134</v>
      </c>
      <c r="G95" s="179">
        <v>0</v>
      </c>
      <c r="H95" s="180">
        <v>0</v>
      </c>
      <c r="I95" s="132"/>
      <c r="J95" s="179" t="s">
        <v>134</v>
      </c>
      <c r="K95" s="179">
        <v>0</v>
      </c>
      <c r="L95" s="180">
        <v>0</v>
      </c>
      <c r="M95" s="575">
        <f t="shared" si="2"/>
        <v>0</v>
      </c>
      <c r="N95" s="576">
        <f t="shared" si="3"/>
        <v>0</v>
      </c>
    </row>
    <row r="96" spans="1:14" s="27" customFormat="1" ht="63" customHeight="1">
      <c r="A96" s="210" t="s">
        <v>418</v>
      </c>
      <c r="B96" s="179" t="s">
        <v>134</v>
      </c>
      <c r="C96" s="179">
        <v>0</v>
      </c>
      <c r="D96" s="180">
        <v>0</v>
      </c>
      <c r="E96" s="133"/>
      <c r="F96" s="179" t="s">
        <v>134</v>
      </c>
      <c r="G96" s="179">
        <v>0</v>
      </c>
      <c r="H96" s="180">
        <v>0</v>
      </c>
      <c r="I96" s="132"/>
      <c r="J96" s="179" t="s">
        <v>134</v>
      </c>
      <c r="K96" s="179">
        <v>0</v>
      </c>
      <c r="L96" s="180">
        <v>0</v>
      </c>
      <c r="M96" s="575">
        <f t="shared" si="2"/>
        <v>0</v>
      </c>
      <c r="N96" s="576">
        <f t="shared" si="3"/>
        <v>0</v>
      </c>
    </row>
    <row r="97" spans="1:14" s="27" customFormat="1" ht="63" customHeight="1">
      <c r="A97" s="210" t="s">
        <v>420</v>
      </c>
      <c r="B97" s="504" t="s">
        <v>134</v>
      </c>
      <c r="C97" s="179">
        <v>0</v>
      </c>
      <c r="D97" s="180">
        <v>0</v>
      </c>
      <c r="E97" s="133"/>
      <c r="F97" s="179" t="s">
        <v>134</v>
      </c>
      <c r="G97" s="179">
        <v>0</v>
      </c>
      <c r="H97" s="180">
        <v>0</v>
      </c>
      <c r="I97" s="132"/>
      <c r="J97" s="179" t="s">
        <v>134</v>
      </c>
      <c r="K97" s="179">
        <v>0</v>
      </c>
      <c r="L97" s="180">
        <v>0</v>
      </c>
      <c r="M97" s="575">
        <f>SUM(C97,H97,K97)</f>
        <v>0</v>
      </c>
      <c r="N97" s="576">
        <f t="shared" si="3"/>
        <v>0</v>
      </c>
    </row>
    <row r="98" spans="1:14" s="27" customFormat="1" ht="63" customHeight="1">
      <c r="A98" s="210" t="s">
        <v>421</v>
      </c>
      <c r="B98" s="504" t="s">
        <v>671</v>
      </c>
      <c r="C98" s="179">
        <v>0.33333333333333331</v>
      </c>
      <c r="D98" s="180">
        <v>0</v>
      </c>
      <c r="E98" s="133"/>
      <c r="F98" s="179" t="s">
        <v>174</v>
      </c>
      <c r="G98" s="179">
        <v>0.33333333333333331</v>
      </c>
      <c r="H98" s="180">
        <v>0</v>
      </c>
      <c r="I98" s="132"/>
      <c r="J98" s="179" t="s">
        <v>174</v>
      </c>
      <c r="K98" s="179">
        <v>0.33333333333333331</v>
      </c>
      <c r="L98" s="180">
        <v>0</v>
      </c>
      <c r="M98" s="575">
        <f t="shared" si="2"/>
        <v>1</v>
      </c>
      <c r="N98" s="576">
        <f t="shared" si="3"/>
        <v>0</v>
      </c>
    </row>
    <row r="99" spans="1:14" s="27" customFormat="1" ht="63" customHeight="1">
      <c r="A99" s="210" t="s">
        <v>423</v>
      </c>
      <c r="B99" s="179" t="s">
        <v>134</v>
      </c>
      <c r="C99" s="179">
        <v>0</v>
      </c>
      <c r="D99" s="180">
        <v>0</v>
      </c>
      <c r="E99" s="133"/>
      <c r="F99" s="179" t="s">
        <v>134</v>
      </c>
      <c r="G99" s="179">
        <v>0</v>
      </c>
      <c r="H99" s="180">
        <v>0</v>
      </c>
      <c r="I99" s="132"/>
      <c r="J99" s="179" t="s">
        <v>134</v>
      </c>
      <c r="K99" s="179">
        <v>0</v>
      </c>
      <c r="L99" s="180">
        <v>0</v>
      </c>
      <c r="M99" s="575">
        <f>SUM(C99,G99,K99)</f>
        <v>0</v>
      </c>
      <c r="N99" s="576">
        <f t="shared" si="3"/>
        <v>0</v>
      </c>
    </row>
    <row r="100" spans="1:14" s="27" customFormat="1" ht="63" customHeight="1">
      <c r="A100" s="210" t="s">
        <v>425</v>
      </c>
      <c r="B100" s="504" t="s">
        <v>324</v>
      </c>
      <c r="C100" s="179">
        <v>0.33333333333333331</v>
      </c>
      <c r="D100" s="180">
        <v>0</v>
      </c>
      <c r="E100" s="133"/>
      <c r="F100" s="179" t="s">
        <v>174</v>
      </c>
      <c r="G100" s="179">
        <v>0.33333333333333331</v>
      </c>
      <c r="H100" s="180">
        <v>0</v>
      </c>
      <c r="I100" s="132"/>
      <c r="J100" s="179" t="s">
        <v>174</v>
      </c>
      <c r="K100" s="179">
        <v>0.33333333333333331</v>
      </c>
      <c r="L100" s="180">
        <v>0</v>
      </c>
      <c r="M100" s="575">
        <f t="shared" si="2"/>
        <v>1</v>
      </c>
      <c r="N100" s="576">
        <f t="shared" si="3"/>
        <v>0</v>
      </c>
    </row>
    <row r="101" spans="1:14" s="27" customFormat="1" ht="63" customHeight="1">
      <c r="A101" s="210" t="s">
        <v>426</v>
      </c>
      <c r="B101" s="179" t="s">
        <v>134</v>
      </c>
      <c r="C101" s="179">
        <v>0</v>
      </c>
      <c r="D101" s="180">
        <v>0</v>
      </c>
      <c r="E101" s="133"/>
      <c r="F101" s="179" t="s">
        <v>134</v>
      </c>
      <c r="G101" s="179">
        <v>0</v>
      </c>
      <c r="H101" s="180">
        <v>0</v>
      </c>
      <c r="I101" s="132"/>
      <c r="J101" s="179" t="s">
        <v>134</v>
      </c>
      <c r="K101" s="179">
        <v>0</v>
      </c>
      <c r="L101" s="180">
        <v>0</v>
      </c>
      <c r="M101" s="575">
        <f t="shared" si="2"/>
        <v>0</v>
      </c>
      <c r="N101" s="576">
        <f t="shared" si="3"/>
        <v>0</v>
      </c>
    </row>
    <row r="102" spans="1:14" s="27" customFormat="1" ht="63" customHeight="1">
      <c r="A102" s="210" t="s">
        <v>427</v>
      </c>
      <c r="B102" s="179" t="s">
        <v>134</v>
      </c>
      <c r="C102" s="179">
        <v>0</v>
      </c>
      <c r="D102" s="180">
        <v>0</v>
      </c>
      <c r="E102" s="133"/>
      <c r="F102" s="179" t="s">
        <v>134</v>
      </c>
      <c r="G102" s="179">
        <v>0</v>
      </c>
      <c r="H102" s="180">
        <v>0</v>
      </c>
      <c r="I102" s="132"/>
      <c r="J102" s="179" t="s">
        <v>723</v>
      </c>
      <c r="K102" s="179">
        <v>2.0833333333333332E-2</v>
      </c>
      <c r="L102" s="180">
        <v>1</v>
      </c>
      <c r="M102" s="575">
        <f t="shared" si="2"/>
        <v>2.0833333333333332E-2</v>
      </c>
      <c r="N102" s="576">
        <f t="shared" si="3"/>
        <v>1</v>
      </c>
    </row>
    <row r="103" spans="1:14" s="27" customFormat="1" ht="63" customHeight="1">
      <c r="A103" s="210" t="s">
        <v>428</v>
      </c>
      <c r="B103" s="179" t="s">
        <v>134</v>
      </c>
      <c r="C103" s="179">
        <v>0</v>
      </c>
      <c r="D103" s="180">
        <v>0</v>
      </c>
      <c r="E103" s="133"/>
      <c r="F103" s="179" t="s">
        <v>134</v>
      </c>
      <c r="G103" s="179">
        <v>0</v>
      </c>
      <c r="H103" s="180">
        <v>0</v>
      </c>
      <c r="I103" s="132"/>
      <c r="J103" s="179" t="s">
        <v>134</v>
      </c>
      <c r="K103" s="179">
        <v>0</v>
      </c>
      <c r="L103" s="180">
        <v>0</v>
      </c>
      <c r="M103" s="575">
        <f t="shared" si="2"/>
        <v>0</v>
      </c>
      <c r="N103" s="576">
        <f t="shared" si="3"/>
        <v>0</v>
      </c>
    </row>
    <row r="104" spans="1:14" s="27" customFormat="1" ht="63" customHeight="1">
      <c r="A104" s="210" t="s">
        <v>429</v>
      </c>
      <c r="B104" s="179" t="s">
        <v>134</v>
      </c>
      <c r="C104" s="179">
        <v>0</v>
      </c>
      <c r="D104" s="180">
        <v>0</v>
      </c>
      <c r="E104" s="133"/>
      <c r="F104" s="179" t="s">
        <v>134</v>
      </c>
      <c r="G104" s="179">
        <v>0</v>
      </c>
      <c r="H104" s="180">
        <v>0</v>
      </c>
      <c r="I104" s="132"/>
      <c r="J104" s="179" t="s">
        <v>134</v>
      </c>
      <c r="K104" s="179">
        <v>0</v>
      </c>
      <c r="L104" s="180">
        <v>0</v>
      </c>
      <c r="M104" s="575">
        <f t="shared" si="2"/>
        <v>0</v>
      </c>
      <c r="N104" s="576">
        <f t="shared" si="3"/>
        <v>0</v>
      </c>
    </row>
    <row r="105" spans="1:14" s="27" customFormat="1" ht="63" customHeight="1">
      <c r="A105" s="210" t="s">
        <v>549</v>
      </c>
      <c r="B105" s="179" t="s">
        <v>134</v>
      </c>
      <c r="C105" s="179">
        <v>0</v>
      </c>
      <c r="D105" s="180">
        <v>0</v>
      </c>
      <c r="E105" s="133"/>
      <c r="F105" s="179" t="s">
        <v>134</v>
      </c>
      <c r="G105" s="179">
        <v>0</v>
      </c>
      <c r="H105" s="180">
        <v>0</v>
      </c>
      <c r="I105" s="132"/>
      <c r="J105" s="179" t="s">
        <v>134</v>
      </c>
      <c r="K105" s="179">
        <v>0</v>
      </c>
      <c r="L105" s="180">
        <v>0</v>
      </c>
      <c r="M105" s="575">
        <f t="shared" si="2"/>
        <v>0</v>
      </c>
      <c r="N105" s="576">
        <f t="shared" si="3"/>
        <v>0</v>
      </c>
    </row>
    <row r="106" spans="1:14" s="27" customFormat="1" ht="63" customHeight="1">
      <c r="A106" s="210" t="s">
        <v>550</v>
      </c>
      <c r="B106" s="179" t="s">
        <v>134</v>
      </c>
      <c r="C106" s="179">
        <v>0</v>
      </c>
      <c r="D106" s="180">
        <v>0</v>
      </c>
      <c r="E106" s="133"/>
      <c r="F106" s="179" t="s">
        <v>134</v>
      </c>
      <c r="G106" s="179">
        <v>0</v>
      </c>
      <c r="H106" s="180">
        <v>0</v>
      </c>
      <c r="I106" s="132"/>
      <c r="J106" s="179" t="s">
        <v>134</v>
      </c>
      <c r="K106" s="179">
        <v>0</v>
      </c>
      <c r="L106" s="180">
        <v>0</v>
      </c>
      <c r="M106" s="575">
        <f t="shared" si="2"/>
        <v>0</v>
      </c>
      <c r="N106" s="576">
        <f t="shared" si="3"/>
        <v>0</v>
      </c>
    </row>
    <row r="107" spans="1:14" s="27" customFormat="1" ht="63" customHeight="1">
      <c r="A107" s="210" t="s">
        <v>551</v>
      </c>
      <c r="B107" s="179" t="s">
        <v>134</v>
      </c>
      <c r="C107" s="179">
        <v>0</v>
      </c>
      <c r="D107" s="180">
        <v>0</v>
      </c>
      <c r="E107" s="133"/>
      <c r="F107" s="179" t="s">
        <v>134</v>
      </c>
      <c r="G107" s="179">
        <v>0</v>
      </c>
      <c r="H107" s="180">
        <v>0</v>
      </c>
      <c r="I107" s="132"/>
      <c r="J107" s="179" t="s">
        <v>134</v>
      </c>
      <c r="K107" s="179">
        <v>0</v>
      </c>
      <c r="L107" s="180">
        <v>0</v>
      </c>
      <c r="M107" s="575">
        <f t="shared" si="2"/>
        <v>0</v>
      </c>
      <c r="N107" s="576">
        <f t="shared" si="3"/>
        <v>0</v>
      </c>
    </row>
    <row r="108" spans="1:14" s="27" customFormat="1" ht="63" customHeight="1">
      <c r="A108" s="210" t="s">
        <v>552</v>
      </c>
      <c r="B108" s="179" t="s">
        <v>134</v>
      </c>
      <c r="C108" s="179">
        <v>0</v>
      </c>
      <c r="D108" s="180">
        <v>0</v>
      </c>
      <c r="E108" s="133"/>
      <c r="F108" s="179" t="s">
        <v>134</v>
      </c>
      <c r="G108" s="179">
        <v>0</v>
      </c>
      <c r="H108" s="180">
        <v>0</v>
      </c>
      <c r="I108" s="132"/>
      <c r="J108" s="179" t="s">
        <v>134</v>
      </c>
      <c r="K108" s="179">
        <v>0</v>
      </c>
      <c r="L108" s="180">
        <v>0</v>
      </c>
      <c r="M108" s="575">
        <f t="shared" si="2"/>
        <v>0</v>
      </c>
      <c r="N108" s="576">
        <f t="shared" si="3"/>
        <v>0</v>
      </c>
    </row>
    <row r="109" spans="1:14" s="27" customFormat="1" ht="63" customHeight="1">
      <c r="A109" s="210" t="s">
        <v>553</v>
      </c>
      <c r="B109" s="179" t="s">
        <v>134</v>
      </c>
      <c r="C109" s="179">
        <v>0</v>
      </c>
      <c r="D109" s="180">
        <v>0</v>
      </c>
      <c r="E109" s="133"/>
      <c r="F109" s="179" t="s">
        <v>134</v>
      </c>
      <c r="G109" s="179">
        <v>0</v>
      </c>
      <c r="H109" s="180">
        <v>0</v>
      </c>
      <c r="I109" s="132"/>
      <c r="J109" s="179" t="s">
        <v>134</v>
      </c>
      <c r="K109" s="179">
        <v>0</v>
      </c>
      <c r="L109" s="180">
        <v>0</v>
      </c>
      <c r="M109" s="575">
        <f t="shared" si="2"/>
        <v>0</v>
      </c>
      <c r="N109" s="576">
        <f t="shared" si="3"/>
        <v>0</v>
      </c>
    </row>
    <row r="110" spans="1:14" s="27" customFormat="1" ht="63" customHeight="1">
      <c r="A110" s="210" t="s">
        <v>554</v>
      </c>
      <c r="B110" s="179" t="s">
        <v>134</v>
      </c>
      <c r="C110" s="179">
        <v>0</v>
      </c>
      <c r="D110" s="180">
        <v>0</v>
      </c>
      <c r="E110" s="133"/>
      <c r="F110" s="179" t="s">
        <v>134</v>
      </c>
      <c r="G110" s="179">
        <v>0</v>
      </c>
      <c r="H110" s="180">
        <v>0</v>
      </c>
      <c r="I110" s="132"/>
      <c r="J110" s="179" t="s">
        <v>134</v>
      </c>
      <c r="K110" s="179">
        <v>0</v>
      </c>
      <c r="L110" s="180">
        <v>0</v>
      </c>
      <c r="M110" s="575">
        <f t="shared" si="2"/>
        <v>0</v>
      </c>
      <c r="N110" s="576">
        <f t="shared" si="3"/>
        <v>0</v>
      </c>
    </row>
    <row r="111" spans="1:14" s="27" customFormat="1" ht="63" customHeight="1">
      <c r="A111" s="210" t="s">
        <v>555</v>
      </c>
      <c r="B111" s="179" t="s">
        <v>134</v>
      </c>
      <c r="C111" s="179">
        <v>0</v>
      </c>
      <c r="D111" s="180">
        <v>0</v>
      </c>
      <c r="E111" s="133"/>
      <c r="F111" s="179" t="s">
        <v>134</v>
      </c>
      <c r="G111" s="179">
        <v>0</v>
      </c>
      <c r="H111" s="180">
        <v>0</v>
      </c>
      <c r="I111" s="132"/>
      <c r="J111" s="179" t="s">
        <v>134</v>
      </c>
      <c r="K111" s="179">
        <v>0</v>
      </c>
      <c r="L111" s="180">
        <v>0</v>
      </c>
      <c r="M111" s="575">
        <f t="shared" si="2"/>
        <v>0</v>
      </c>
      <c r="N111" s="576">
        <f t="shared" si="3"/>
        <v>0</v>
      </c>
    </row>
    <row r="112" spans="1:14" s="27" customFormat="1" ht="63" customHeight="1">
      <c r="A112" s="210" t="s">
        <v>556</v>
      </c>
      <c r="B112" s="179" t="s">
        <v>134</v>
      </c>
      <c r="C112" s="179">
        <v>0</v>
      </c>
      <c r="D112" s="180">
        <v>0</v>
      </c>
      <c r="E112" s="133"/>
      <c r="F112" s="179" t="s">
        <v>134</v>
      </c>
      <c r="G112" s="179">
        <v>0</v>
      </c>
      <c r="H112" s="180">
        <v>0</v>
      </c>
      <c r="I112" s="132"/>
      <c r="J112" s="179" t="s">
        <v>134</v>
      </c>
      <c r="K112" s="179">
        <v>0</v>
      </c>
      <c r="L112" s="180">
        <v>0</v>
      </c>
      <c r="M112" s="575">
        <f t="shared" si="2"/>
        <v>0</v>
      </c>
      <c r="N112" s="576">
        <f t="shared" si="3"/>
        <v>0</v>
      </c>
    </row>
    <row r="113" spans="1:14" s="27" customFormat="1" ht="63" customHeight="1">
      <c r="A113" s="210" t="s">
        <v>557</v>
      </c>
      <c r="B113" s="179" t="s">
        <v>134</v>
      </c>
      <c r="C113" s="179">
        <v>0</v>
      </c>
      <c r="D113" s="180">
        <v>0</v>
      </c>
      <c r="E113" s="133"/>
      <c r="F113" s="179" t="s">
        <v>134</v>
      </c>
      <c r="G113" s="179">
        <v>0</v>
      </c>
      <c r="H113" s="180">
        <v>0</v>
      </c>
      <c r="I113" s="132"/>
      <c r="J113" s="179" t="s">
        <v>134</v>
      </c>
      <c r="K113" s="179">
        <v>0</v>
      </c>
      <c r="L113" s="180">
        <v>0</v>
      </c>
      <c r="M113" s="575">
        <f t="shared" si="2"/>
        <v>0</v>
      </c>
      <c r="N113" s="576">
        <f t="shared" si="3"/>
        <v>0</v>
      </c>
    </row>
    <row r="114" spans="1:14" s="27" customFormat="1" ht="63" customHeight="1">
      <c r="A114" s="210" t="s">
        <v>558</v>
      </c>
      <c r="B114" s="179" t="s">
        <v>134</v>
      </c>
      <c r="C114" s="179">
        <v>0</v>
      </c>
      <c r="D114" s="180">
        <v>0</v>
      </c>
      <c r="E114" s="133"/>
      <c r="F114" s="179" t="s">
        <v>134</v>
      </c>
      <c r="G114" s="179">
        <v>0</v>
      </c>
      <c r="H114" s="180">
        <v>0</v>
      </c>
      <c r="I114" s="132"/>
      <c r="J114" s="179" t="s">
        <v>134</v>
      </c>
      <c r="K114" s="179">
        <v>0</v>
      </c>
      <c r="L114" s="180">
        <v>0</v>
      </c>
      <c r="M114" s="575">
        <f t="shared" si="2"/>
        <v>0</v>
      </c>
      <c r="N114" s="576">
        <f t="shared" si="3"/>
        <v>0</v>
      </c>
    </row>
    <row r="115" spans="1:14" s="27" customFormat="1" ht="63" customHeight="1">
      <c r="A115" s="210" t="s">
        <v>559</v>
      </c>
      <c r="B115" s="179" t="s">
        <v>134</v>
      </c>
      <c r="C115" s="179">
        <v>0</v>
      </c>
      <c r="D115" s="180">
        <v>0</v>
      </c>
      <c r="E115" s="133"/>
      <c r="F115" s="179" t="s">
        <v>134</v>
      </c>
      <c r="G115" s="179">
        <v>0</v>
      </c>
      <c r="H115" s="180">
        <v>0</v>
      </c>
      <c r="I115" s="132"/>
      <c r="J115" s="179" t="s">
        <v>134</v>
      </c>
      <c r="K115" s="179">
        <v>0</v>
      </c>
      <c r="L115" s="180">
        <v>0</v>
      </c>
      <c r="M115" s="575">
        <f>SUM(C115,G115,K115)</f>
        <v>0</v>
      </c>
      <c r="N115" s="576">
        <f t="shared" si="3"/>
        <v>0</v>
      </c>
    </row>
    <row r="116" spans="1:14" s="27" customFormat="1" ht="63" customHeight="1">
      <c r="A116" s="210" t="s">
        <v>560</v>
      </c>
      <c r="B116" s="179" t="s">
        <v>134</v>
      </c>
      <c r="C116" s="179">
        <v>0</v>
      </c>
      <c r="D116" s="180">
        <v>0</v>
      </c>
      <c r="E116" s="133"/>
      <c r="F116" s="179" t="s">
        <v>134</v>
      </c>
      <c r="G116" s="179">
        <v>0</v>
      </c>
      <c r="H116" s="180">
        <v>0</v>
      </c>
      <c r="I116" s="132"/>
      <c r="J116" s="179" t="s">
        <v>134</v>
      </c>
      <c r="K116" s="179">
        <v>0</v>
      </c>
      <c r="L116" s="180">
        <v>0</v>
      </c>
      <c r="M116" s="575">
        <f t="shared" si="2"/>
        <v>0</v>
      </c>
      <c r="N116" s="576">
        <f t="shared" si="3"/>
        <v>0</v>
      </c>
    </row>
    <row r="117" spans="1:14" s="27" customFormat="1" ht="63" customHeight="1">
      <c r="A117" s="210" t="s">
        <v>561</v>
      </c>
      <c r="B117" s="179" t="s">
        <v>134</v>
      </c>
      <c r="C117" s="179">
        <v>0</v>
      </c>
      <c r="D117" s="180">
        <v>0</v>
      </c>
      <c r="E117" s="133"/>
      <c r="F117" s="179" t="s">
        <v>134</v>
      </c>
      <c r="G117" s="179">
        <v>0</v>
      </c>
      <c r="H117" s="180">
        <v>0</v>
      </c>
      <c r="I117" s="132"/>
      <c r="J117" s="179" t="s">
        <v>134</v>
      </c>
      <c r="K117" s="179">
        <v>0</v>
      </c>
      <c r="L117" s="180">
        <v>0</v>
      </c>
      <c r="M117" s="575">
        <f t="shared" si="2"/>
        <v>0</v>
      </c>
      <c r="N117" s="576">
        <f t="shared" si="3"/>
        <v>0</v>
      </c>
    </row>
    <row r="118" spans="1:14" s="27" customFormat="1" ht="63" customHeight="1">
      <c r="A118" s="210" t="s">
        <v>562</v>
      </c>
      <c r="B118" s="179" t="s">
        <v>134</v>
      </c>
      <c r="C118" s="179">
        <v>0</v>
      </c>
      <c r="D118" s="180">
        <v>0</v>
      </c>
      <c r="E118" s="133"/>
      <c r="F118" s="179" t="s">
        <v>134</v>
      </c>
      <c r="G118" s="179">
        <v>0</v>
      </c>
      <c r="H118" s="180">
        <v>0</v>
      </c>
      <c r="I118" s="132"/>
      <c r="J118" s="179" t="s">
        <v>134</v>
      </c>
      <c r="K118" s="179">
        <v>0</v>
      </c>
      <c r="L118" s="180">
        <v>0</v>
      </c>
      <c r="M118" s="575">
        <f t="shared" si="2"/>
        <v>0</v>
      </c>
      <c r="N118" s="576">
        <f t="shared" si="3"/>
        <v>0</v>
      </c>
    </row>
    <row r="119" spans="1:14" s="27" customFormat="1" ht="63" customHeight="1">
      <c r="A119" s="210" t="s">
        <v>563</v>
      </c>
      <c r="B119" s="179" t="s">
        <v>134</v>
      </c>
      <c r="C119" s="179">
        <v>0</v>
      </c>
      <c r="D119" s="180">
        <v>0</v>
      </c>
      <c r="E119" s="133"/>
      <c r="F119" s="179" t="s">
        <v>134</v>
      </c>
      <c r="G119" s="179">
        <v>0</v>
      </c>
      <c r="H119" s="180">
        <v>0</v>
      </c>
      <c r="I119" s="132"/>
      <c r="J119" s="179" t="s">
        <v>134</v>
      </c>
      <c r="K119" s="179">
        <v>0</v>
      </c>
      <c r="L119" s="180">
        <v>0</v>
      </c>
      <c r="M119" s="575">
        <f t="shared" si="2"/>
        <v>0</v>
      </c>
      <c r="N119" s="576">
        <f t="shared" si="3"/>
        <v>0</v>
      </c>
    </row>
    <row r="120" spans="1:14" s="27" customFormat="1" ht="63" customHeight="1">
      <c r="A120" s="210" t="s">
        <v>564</v>
      </c>
      <c r="B120" s="179" t="s">
        <v>134</v>
      </c>
      <c r="C120" s="179">
        <v>0</v>
      </c>
      <c r="D120" s="180">
        <v>0</v>
      </c>
      <c r="E120" s="133"/>
      <c r="F120" s="179" t="s">
        <v>134</v>
      </c>
      <c r="G120" s="179">
        <v>0</v>
      </c>
      <c r="H120" s="180">
        <v>0</v>
      </c>
      <c r="I120" s="132"/>
      <c r="J120" s="179" t="s">
        <v>134</v>
      </c>
      <c r="K120" s="179">
        <v>0</v>
      </c>
      <c r="L120" s="180">
        <v>0</v>
      </c>
      <c r="M120" s="575">
        <f t="shared" si="2"/>
        <v>0</v>
      </c>
      <c r="N120" s="576">
        <f t="shared" si="3"/>
        <v>0</v>
      </c>
    </row>
    <row r="121" spans="1:14" s="27" customFormat="1" ht="63" customHeight="1">
      <c r="A121" s="210" t="s">
        <v>565</v>
      </c>
      <c r="B121" s="179" t="s">
        <v>134</v>
      </c>
      <c r="C121" s="179">
        <v>0</v>
      </c>
      <c r="D121" s="180">
        <v>0</v>
      </c>
      <c r="E121" s="133"/>
      <c r="F121" s="179" t="s">
        <v>134</v>
      </c>
      <c r="G121" s="179">
        <v>0</v>
      </c>
      <c r="H121" s="180">
        <v>0</v>
      </c>
      <c r="I121" s="132"/>
      <c r="J121" s="179" t="s">
        <v>134</v>
      </c>
      <c r="K121" s="179">
        <v>0</v>
      </c>
      <c r="L121" s="180">
        <v>0</v>
      </c>
      <c r="M121" s="575">
        <f t="shared" si="2"/>
        <v>0</v>
      </c>
      <c r="N121" s="576">
        <f t="shared" si="3"/>
        <v>0</v>
      </c>
    </row>
    <row r="122" spans="1:14" s="27" customFormat="1" ht="63" customHeight="1">
      <c r="A122" s="210" t="s">
        <v>566</v>
      </c>
      <c r="B122" s="179" t="s">
        <v>134</v>
      </c>
      <c r="C122" s="179">
        <v>0</v>
      </c>
      <c r="D122" s="180">
        <v>0</v>
      </c>
      <c r="E122" s="133"/>
      <c r="F122" s="179" t="s">
        <v>134</v>
      </c>
      <c r="G122" s="179">
        <v>0</v>
      </c>
      <c r="H122" s="180">
        <v>0</v>
      </c>
      <c r="I122" s="132"/>
      <c r="J122" s="179" t="s">
        <v>134</v>
      </c>
      <c r="K122" s="179">
        <v>0</v>
      </c>
      <c r="L122" s="180">
        <v>0</v>
      </c>
      <c r="M122" s="575">
        <f t="shared" si="2"/>
        <v>0</v>
      </c>
      <c r="N122" s="576">
        <f t="shared" si="3"/>
        <v>0</v>
      </c>
    </row>
    <row r="123" spans="1:14" s="27" customFormat="1" ht="63" customHeight="1">
      <c r="A123" s="210" t="s">
        <v>567</v>
      </c>
      <c r="B123" s="179" t="s">
        <v>134</v>
      </c>
      <c r="C123" s="179">
        <v>0</v>
      </c>
      <c r="D123" s="180">
        <v>0</v>
      </c>
      <c r="E123" s="133"/>
      <c r="F123" s="179" t="s">
        <v>134</v>
      </c>
      <c r="G123" s="179">
        <v>0</v>
      </c>
      <c r="H123" s="180">
        <v>0</v>
      </c>
      <c r="I123" s="132"/>
      <c r="J123" s="179" t="s">
        <v>134</v>
      </c>
      <c r="K123" s="179">
        <v>0</v>
      </c>
      <c r="L123" s="180">
        <v>0</v>
      </c>
      <c r="M123" s="575">
        <f t="shared" si="2"/>
        <v>0</v>
      </c>
      <c r="N123" s="576">
        <f t="shared" si="3"/>
        <v>0</v>
      </c>
    </row>
    <row r="124" spans="1:14" s="27" customFormat="1" ht="63" customHeight="1">
      <c r="A124" s="210" t="s">
        <v>568</v>
      </c>
      <c r="B124" s="179" t="s">
        <v>134</v>
      </c>
      <c r="C124" s="179">
        <v>0</v>
      </c>
      <c r="D124" s="180">
        <v>0</v>
      </c>
      <c r="E124" s="133"/>
      <c r="F124" s="179" t="s">
        <v>134</v>
      </c>
      <c r="G124" s="179">
        <v>0</v>
      </c>
      <c r="H124" s="180">
        <v>0</v>
      </c>
      <c r="I124" s="132"/>
      <c r="J124" s="179" t="s">
        <v>134</v>
      </c>
      <c r="K124" s="179">
        <v>0</v>
      </c>
      <c r="L124" s="180">
        <v>0</v>
      </c>
      <c r="M124" s="575">
        <f t="shared" si="2"/>
        <v>0</v>
      </c>
      <c r="N124" s="576">
        <f t="shared" si="3"/>
        <v>0</v>
      </c>
    </row>
    <row r="125" spans="1:14" ht="57.75" customHeight="1">
      <c r="A125" s="210"/>
      <c r="B125" s="577"/>
      <c r="C125" s="578">
        <f>SUM(C9:C124)</f>
        <v>10.013888888888889</v>
      </c>
      <c r="D125" s="579"/>
      <c r="E125" s="578">
        <f>SUM(E57:E62)</f>
        <v>0</v>
      </c>
      <c r="F125" s="579"/>
      <c r="G125" s="578">
        <f>SUM(G9:G124)</f>
        <v>10.333333333333334</v>
      </c>
      <c r="H125" s="579"/>
      <c r="I125" s="578">
        <f>SUM(I57:I62)</f>
        <v>0</v>
      </c>
      <c r="J125" s="579"/>
      <c r="K125" s="578">
        <f>SUM(K9:K124)</f>
        <v>10.375000000000002</v>
      </c>
      <c r="L125" s="580"/>
      <c r="M125" s="581"/>
      <c r="N125" s="582">
        <f>SUM(N9:N104)</f>
        <v>5</v>
      </c>
    </row>
    <row r="126" spans="1:14" ht="57.75" customHeight="1">
      <c r="A126" s="210" t="s">
        <v>438</v>
      </c>
      <c r="B126" s="668" t="s">
        <v>648</v>
      </c>
      <c r="C126" s="666">
        <v>0.33333333333333331</v>
      </c>
      <c r="D126" s="180">
        <v>0</v>
      </c>
      <c r="E126" s="666"/>
      <c r="F126" s="668" t="s">
        <v>648</v>
      </c>
      <c r="G126" s="666">
        <v>0.33333333333333331</v>
      </c>
      <c r="H126" s="180">
        <v>0</v>
      </c>
      <c r="I126" s="666"/>
      <c r="J126" s="668" t="s">
        <v>648</v>
      </c>
      <c r="K126" s="666">
        <v>0.33333333333333331</v>
      </c>
      <c r="L126" s="180">
        <v>0</v>
      </c>
      <c r="M126" s="575">
        <f t="shared" si="2"/>
        <v>1</v>
      </c>
      <c r="N126" s="576">
        <f t="shared" si="3"/>
        <v>0</v>
      </c>
    </row>
    <row r="127" spans="1:14" ht="57.75" customHeight="1">
      <c r="A127" s="210" t="s">
        <v>439</v>
      </c>
      <c r="B127" s="668" t="s">
        <v>648</v>
      </c>
      <c r="C127" s="666">
        <v>0.33333333333333331</v>
      </c>
      <c r="D127" s="180">
        <v>0</v>
      </c>
      <c r="E127" s="666"/>
      <c r="F127" s="668" t="s">
        <v>648</v>
      </c>
      <c r="G127" s="666">
        <v>0.33333333333333331</v>
      </c>
      <c r="H127" s="180">
        <v>0</v>
      </c>
      <c r="I127" s="666"/>
      <c r="J127" s="668" t="s">
        <v>648</v>
      </c>
      <c r="K127" s="666">
        <v>0.33333333333333331</v>
      </c>
      <c r="L127" s="180">
        <v>0</v>
      </c>
      <c r="M127" s="575">
        <f t="shared" si="2"/>
        <v>1</v>
      </c>
      <c r="N127" s="576">
        <f t="shared" si="3"/>
        <v>0</v>
      </c>
    </row>
    <row r="128" spans="1:14" ht="57.75" customHeight="1">
      <c r="A128" s="210" t="s">
        <v>646</v>
      </c>
      <c r="B128" s="179" t="s">
        <v>134</v>
      </c>
      <c r="C128" s="666">
        <v>0</v>
      </c>
      <c r="D128" s="180">
        <v>0</v>
      </c>
      <c r="E128" s="666"/>
      <c r="F128" s="179" t="s">
        <v>134</v>
      </c>
      <c r="G128" s="666">
        <v>0</v>
      </c>
      <c r="H128" s="180">
        <v>0</v>
      </c>
      <c r="I128" s="666"/>
      <c r="J128" s="179" t="s">
        <v>134</v>
      </c>
      <c r="K128" s="666">
        <v>0</v>
      </c>
      <c r="L128" s="180">
        <v>0</v>
      </c>
      <c r="M128" s="575">
        <f t="shared" si="2"/>
        <v>0</v>
      </c>
      <c r="N128" s="576">
        <f t="shared" si="3"/>
        <v>0</v>
      </c>
    </row>
    <row r="129" spans="1:14" ht="57.75" customHeight="1">
      <c r="A129" s="210" t="s">
        <v>647</v>
      </c>
      <c r="B129" s="179" t="s">
        <v>134</v>
      </c>
      <c r="C129" s="666">
        <v>0</v>
      </c>
      <c r="D129" s="180">
        <v>0</v>
      </c>
      <c r="E129" s="666"/>
      <c r="F129" s="179" t="s">
        <v>134</v>
      </c>
      <c r="G129" s="666">
        <v>0</v>
      </c>
      <c r="H129" s="180">
        <v>0</v>
      </c>
      <c r="I129" s="666"/>
      <c r="J129" s="179" t="s">
        <v>134</v>
      </c>
      <c r="K129" s="666">
        <v>0</v>
      </c>
      <c r="L129" s="180">
        <v>0</v>
      </c>
      <c r="M129" s="575">
        <f t="shared" si="2"/>
        <v>0</v>
      </c>
      <c r="N129" s="576">
        <f t="shared" si="3"/>
        <v>0</v>
      </c>
    </row>
    <row r="130" spans="1:14" ht="57.75" customHeight="1">
      <c r="A130" s="210"/>
      <c r="B130" s="670"/>
      <c r="C130" s="666">
        <f>SUM(C126:C129)</f>
        <v>0.66666666666666663</v>
      </c>
      <c r="D130" s="666"/>
      <c r="E130" s="666"/>
      <c r="F130" s="670"/>
      <c r="G130" s="666">
        <f>SUM(G126:G129)</f>
        <v>0.66666666666666663</v>
      </c>
      <c r="H130" s="666"/>
      <c r="I130" s="666"/>
      <c r="J130" s="670"/>
      <c r="K130" s="666">
        <f>SUM(K125:K129)</f>
        <v>11.04166666666667</v>
      </c>
      <c r="L130" s="667"/>
      <c r="M130" s="581"/>
      <c r="N130" s="665"/>
    </row>
    <row r="131" spans="1:14" ht="1.5" customHeight="1">
      <c r="A131" s="210" t="s">
        <v>430</v>
      </c>
      <c r="B131" s="108"/>
      <c r="C131" s="108"/>
      <c r="D131" s="108"/>
      <c r="E131" s="108"/>
      <c r="F131" s="108"/>
      <c r="G131" s="108"/>
      <c r="H131" s="108"/>
      <c r="I131" s="108"/>
      <c r="J131" s="191" t="str">
        <f>J4</f>
        <v>NDIRANGU</v>
      </c>
      <c r="K131" s="108"/>
      <c r="L131" s="108"/>
      <c r="M131" s="2"/>
    </row>
    <row r="132" spans="1:14" ht="1.5" customHeight="1">
      <c r="A132" s="210"/>
      <c r="J132" s="669"/>
    </row>
    <row r="133" spans="1:14" ht="2.25" customHeight="1">
      <c r="A133" s="210" t="s">
        <v>431</v>
      </c>
      <c r="J133" s="8" t="str">
        <f>J4</f>
        <v>NDIRANGU</v>
      </c>
    </row>
    <row r="134" spans="1:14" ht="2.25" customHeight="1">
      <c r="A134" s="210" t="s">
        <v>432</v>
      </c>
    </row>
    <row r="135" spans="1:14" ht="2.25" customHeight="1">
      <c r="A135" s="210" t="s">
        <v>433</v>
      </c>
    </row>
    <row r="136" spans="1:14" ht="2.25" customHeight="1">
      <c r="A136" s="210" t="s">
        <v>434</v>
      </c>
    </row>
    <row r="137" spans="1:14" ht="2.25" customHeight="1">
      <c r="A137" s="210" t="s">
        <v>435</v>
      </c>
    </row>
    <row r="138" spans="1:14" ht="2.25" customHeight="1">
      <c r="A138" s="210" t="s">
        <v>436</v>
      </c>
    </row>
    <row r="139" spans="1:14" ht="2.25" customHeight="1">
      <c r="A139" s="210" t="s">
        <v>437</v>
      </c>
    </row>
    <row r="140" spans="1:14" ht="2.25" customHeight="1">
      <c r="A140" s="210" t="s">
        <v>438</v>
      </c>
    </row>
    <row r="141" spans="1:14" ht="2.25" customHeight="1">
      <c r="A141" s="210" t="s">
        <v>439</v>
      </c>
    </row>
    <row r="142" spans="1:14" ht="2.25" customHeight="1"/>
    <row r="143" spans="1:14" ht="2.25" customHeight="1"/>
    <row r="144" spans="1:14" ht="2.25" customHeight="1"/>
    <row r="145" ht="2.25" customHeight="1"/>
    <row r="146" ht="2.25" customHeight="1"/>
    <row r="147" ht="2.25" customHeight="1"/>
    <row r="148" ht="2.25" customHeight="1"/>
    <row r="149" ht="2.25" customHeight="1"/>
    <row r="150" ht="2.25" customHeight="1"/>
    <row r="151" ht="2.25" customHeight="1"/>
    <row r="152" ht="2.25" customHeight="1"/>
    <row r="153" ht="2.25" customHeight="1"/>
    <row r="154" ht="2.25" customHeight="1"/>
    <row r="155" ht="2.25" customHeight="1"/>
    <row r="156" ht="2.25" customHeight="1"/>
    <row r="157" ht="2.25" customHeight="1"/>
    <row r="158" ht="2.25" customHeight="1"/>
    <row r="159" ht="2.25" customHeight="1"/>
    <row r="160" ht="2.25" customHeight="1"/>
    <row r="161" ht="2.25" customHeight="1"/>
    <row r="162" ht="2.25" customHeight="1"/>
    <row r="163" ht="2.25" customHeight="1"/>
    <row r="164" ht="2.25" customHeight="1"/>
    <row r="165" ht="2.25" customHeight="1"/>
    <row r="166" ht="2.25" customHeight="1"/>
    <row r="167" ht="2.25" customHeight="1"/>
    <row r="168" ht="2.25" customHeight="1"/>
    <row r="169" ht="2.25" customHeight="1"/>
    <row r="170" ht="2.25" customHeight="1"/>
    <row r="171" ht="2.25" customHeight="1"/>
    <row r="172" ht="2.25" customHeight="1"/>
    <row r="173" ht="2.25" customHeight="1"/>
    <row r="174" ht="2.25" customHeight="1"/>
    <row r="175" ht="2.25" customHeight="1"/>
    <row r="176" ht="2.25" customHeight="1"/>
    <row r="177" ht="2.25" customHeight="1"/>
    <row r="178" ht="2.25" customHeight="1"/>
    <row r="179" ht="2.25" customHeight="1"/>
    <row r="180" ht="2.25" customHeight="1"/>
    <row r="181" ht="2.25" customHeight="1"/>
    <row r="182" ht="2.25" customHeight="1"/>
    <row r="183" ht="2.25" customHeight="1"/>
    <row r="184" ht="2.25" customHeight="1"/>
    <row r="185" ht="2.25" customHeight="1"/>
    <row r="186" ht="2.25" customHeight="1"/>
    <row r="187" ht="2.25" customHeight="1"/>
    <row r="188" ht="2.25" customHeight="1"/>
    <row r="189" ht="2.25" customHeight="1"/>
    <row r="190" ht="2.25" customHeight="1"/>
    <row r="191" ht="2.25" customHeight="1"/>
    <row r="192" ht="2.25" customHeight="1"/>
    <row r="193" ht="2.25" customHeight="1"/>
    <row r="194" ht="2.25" customHeight="1"/>
    <row r="195" ht="2.25" customHeight="1"/>
    <row r="196" ht="2.25" customHeight="1"/>
    <row r="197" ht="2.25" customHeight="1"/>
    <row r="198" ht="2.25" customHeight="1"/>
    <row r="199" ht="2.25" customHeight="1"/>
    <row r="200" ht="2.25" customHeight="1"/>
    <row r="201" ht="2.25" customHeight="1"/>
    <row r="202" ht="2.25" customHeight="1"/>
    <row r="203" ht="2.25" customHeight="1"/>
    <row r="204" ht="2.25" customHeight="1"/>
    <row r="205" ht="2.25" customHeight="1"/>
    <row r="206" ht="2.25" customHeight="1"/>
    <row r="207" ht="2.25" customHeight="1"/>
    <row r="208" ht="2.25" customHeight="1"/>
    <row r="209" ht="2.25" customHeight="1"/>
    <row r="210" ht="2.25" customHeight="1"/>
    <row r="211" ht="2.25" customHeight="1"/>
    <row r="212" ht="2.25" customHeight="1"/>
    <row r="213" ht="2.25" customHeight="1"/>
    <row r="214" ht="2.25" customHeight="1"/>
    <row r="215" ht="2.25" customHeight="1"/>
    <row r="216" ht="2.25" customHeight="1"/>
    <row r="217" ht="2.25" customHeight="1"/>
    <row r="218" ht="2.25" customHeight="1"/>
    <row r="219" ht="2.25" customHeight="1"/>
    <row r="220" ht="2.25" customHeight="1"/>
    <row r="221" ht="2.25" customHeight="1"/>
    <row r="222" ht="2.25" customHeight="1"/>
    <row r="223" ht="2.25" customHeight="1"/>
    <row r="224" ht="2.25" customHeight="1"/>
    <row r="225" ht="2.25" customHeight="1"/>
    <row r="226" ht="2.25" customHeight="1"/>
    <row r="227" ht="2.25" customHeight="1"/>
    <row r="228" ht="2.25" customHeight="1"/>
    <row r="229" ht="2.25" customHeight="1"/>
    <row r="230" ht="2.25" customHeight="1"/>
    <row r="231" ht="2.25" customHeight="1"/>
    <row r="232" ht="2.25" customHeight="1"/>
    <row r="233" ht="2.25" customHeight="1"/>
    <row r="234" ht="2.25" customHeight="1"/>
    <row r="235" ht="2.25" customHeight="1"/>
    <row r="236" ht="2.25" customHeight="1"/>
    <row r="237" ht="2.25" customHeight="1"/>
    <row r="238" ht="2.25" customHeight="1"/>
    <row r="239" ht="2.25" customHeight="1"/>
    <row r="240" ht="2.25" customHeight="1"/>
    <row r="241" ht="2.25" customHeight="1"/>
    <row r="242" ht="2.25" customHeight="1"/>
    <row r="243" ht="2.25" customHeight="1"/>
    <row r="244" ht="2.25" customHeight="1"/>
    <row r="245" ht="2.25" customHeight="1"/>
    <row r="246" ht="2.25" customHeight="1"/>
    <row r="247" ht="2.25" customHeight="1"/>
    <row r="248" ht="2.25" customHeight="1"/>
    <row r="249" ht="2.25" customHeight="1"/>
    <row r="250" ht="2.25" customHeight="1"/>
    <row r="251" ht="2.25" customHeight="1"/>
    <row r="252" ht="2.25" customHeight="1"/>
    <row r="253" ht="2.25" customHeight="1"/>
    <row r="254" ht="2.25" customHeight="1"/>
    <row r="255" ht="2.25" customHeight="1"/>
    <row r="256" ht="2.25" customHeight="1"/>
    <row r="257" ht="2.25" customHeight="1"/>
    <row r="258" ht="2.25" customHeight="1"/>
    <row r="259" ht="2.25" customHeight="1"/>
    <row r="260" ht="2.25" customHeight="1"/>
    <row r="261" ht="2.25" customHeight="1"/>
    <row r="262" ht="2.25" customHeight="1"/>
    <row r="263" ht="2.25" customHeight="1"/>
    <row r="264" ht="2.25" customHeight="1"/>
    <row r="265" ht="2.25" customHeight="1"/>
    <row r="266" ht="2.25" customHeight="1"/>
    <row r="267" ht="2.25" customHeight="1"/>
    <row r="268" ht="2.25" customHeight="1"/>
    <row r="269" ht="2.25" customHeight="1"/>
    <row r="270" ht="2.25" customHeight="1"/>
    <row r="271" ht="2.25" customHeight="1"/>
    <row r="272" ht="2.25" customHeight="1"/>
    <row r="273" ht="2.25" customHeight="1"/>
    <row r="274" ht="2.25" customHeight="1"/>
    <row r="275" ht="2.25" customHeight="1"/>
    <row r="276" ht="2.25" customHeight="1"/>
    <row r="277" ht="2.25" customHeight="1"/>
    <row r="278" ht="2.25" customHeight="1"/>
    <row r="279" ht="2.25" customHeight="1"/>
    <row r="280" ht="2.25" customHeight="1"/>
    <row r="281" ht="2.25" customHeight="1"/>
    <row r="282" ht="2.25" customHeight="1"/>
    <row r="283" ht="2.25" customHeight="1"/>
    <row r="284" ht="2.25" customHeight="1"/>
    <row r="285" ht="2.25" customHeight="1"/>
    <row r="286" ht="2.25" customHeight="1"/>
    <row r="287" ht="2.25" customHeight="1"/>
    <row r="288" ht="2.25" customHeight="1"/>
    <row r="289" ht="2.25" customHeight="1"/>
    <row r="290" ht="2.25" customHeight="1"/>
    <row r="291" ht="2.25" customHeight="1"/>
    <row r="292" ht="2.25" customHeight="1"/>
    <row r="293" ht="2.25" customHeight="1"/>
    <row r="294" ht="2.25" customHeight="1"/>
    <row r="295" ht="2.25" customHeight="1"/>
    <row r="296" ht="2.25" customHeight="1"/>
    <row r="297" ht="2.25" customHeight="1"/>
    <row r="298" ht="2.25" customHeight="1"/>
    <row r="299" ht="2.25" customHeight="1"/>
    <row r="300" ht="2.25" customHeight="1"/>
    <row r="301" ht="2.25" customHeight="1"/>
    <row r="302" ht="2.25" customHeight="1"/>
    <row r="303" ht="2.25" customHeight="1"/>
    <row r="304" ht="2.25" customHeight="1"/>
    <row r="305" ht="2.25" customHeight="1"/>
    <row r="306" ht="2.25" customHeight="1"/>
    <row r="307" ht="2.25" customHeight="1"/>
    <row r="308" ht="2.25" customHeight="1"/>
    <row r="309" ht="2.25" customHeight="1"/>
    <row r="310" ht="2.25" customHeight="1"/>
    <row r="311" ht="2.25" customHeight="1"/>
    <row r="312" ht="2.25" customHeight="1"/>
    <row r="313" ht="2.25" customHeight="1"/>
    <row r="314" ht="2.25" customHeight="1"/>
    <row r="315" ht="2.25" customHeight="1"/>
    <row r="316" ht="2.25" customHeight="1"/>
    <row r="317" ht="2.25" customHeight="1"/>
    <row r="318" ht="2.25" customHeight="1"/>
    <row r="319" ht="2.25" customHeight="1"/>
    <row r="320" ht="2.25" customHeight="1"/>
    <row r="321" ht="2.25" customHeight="1"/>
    <row r="322" ht="2.25" customHeight="1"/>
    <row r="323" ht="2.25" customHeight="1"/>
    <row r="324" ht="2.25" customHeight="1"/>
    <row r="325" ht="2.25" customHeight="1"/>
    <row r="326" ht="2.25" customHeight="1"/>
    <row r="327" ht="2.25" customHeight="1"/>
    <row r="328" ht="2.25" customHeight="1"/>
    <row r="329" ht="2.25" customHeight="1"/>
    <row r="330" ht="2.25" customHeight="1"/>
    <row r="331" ht="2.25" customHeight="1"/>
    <row r="332" ht="2.25" customHeight="1"/>
    <row r="333" ht="2.25" customHeight="1"/>
    <row r="334" ht="2.25" customHeight="1"/>
    <row r="335" ht="2.25" customHeight="1"/>
    <row r="336" ht="2.25" customHeight="1"/>
    <row r="337" ht="2.25" customHeight="1"/>
    <row r="338" ht="2.25" customHeight="1"/>
    <row r="339" ht="2.25" customHeight="1"/>
    <row r="340" ht="2.25" customHeight="1"/>
    <row r="341" ht="2.25" customHeight="1"/>
    <row r="342" ht="2.25" customHeight="1"/>
    <row r="343" ht="2.25" customHeight="1"/>
    <row r="344" ht="2.25" customHeight="1"/>
    <row r="345" ht="2.25" customHeight="1"/>
    <row r="346" ht="2.25" customHeight="1"/>
    <row r="347" ht="2.25" customHeight="1"/>
    <row r="348" ht="2.25" customHeight="1"/>
    <row r="349" ht="2.25" customHeight="1"/>
    <row r="350" ht="2.25" customHeight="1"/>
    <row r="351" ht="2.25" customHeight="1"/>
    <row r="352" ht="2.25" customHeight="1"/>
    <row r="353" ht="2.25" customHeight="1"/>
    <row r="354" ht="2.25" customHeight="1"/>
    <row r="355" ht="2.25" customHeight="1"/>
    <row r="356" ht="2.25" customHeight="1"/>
    <row r="357" ht="2.25" customHeight="1"/>
    <row r="358" ht="2.25" customHeight="1"/>
    <row r="359" ht="2.25" customHeight="1"/>
    <row r="360" ht="2.25" customHeight="1"/>
    <row r="361" ht="2.25" customHeight="1"/>
    <row r="362" ht="2.25" customHeight="1"/>
    <row r="363" ht="2.25" customHeight="1"/>
    <row r="364" ht="2.25" customHeight="1"/>
    <row r="365" ht="2.25" customHeight="1"/>
    <row r="366" ht="2.25" customHeight="1"/>
    <row r="367" ht="2.25" customHeight="1"/>
    <row r="368" ht="2.25" customHeight="1"/>
    <row r="369" ht="2.25" customHeight="1"/>
    <row r="370" ht="2.25" customHeight="1"/>
    <row r="371" ht="2.25" customHeight="1"/>
    <row r="372" ht="2.25" customHeight="1"/>
    <row r="373" ht="2.25" customHeight="1"/>
    <row r="374" ht="2.25" customHeight="1"/>
    <row r="375" ht="2.25" customHeight="1"/>
    <row r="376" ht="2.25" customHeight="1"/>
    <row r="377" ht="2.25" customHeight="1"/>
    <row r="378" ht="2.25" customHeight="1"/>
    <row r="379" ht="2.25" customHeight="1"/>
    <row r="380" ht="2.25" customHeight="1"/>
    <row r="381" ht="2.25" customHeight="1"/>
    <row r="382" ht="2.25" customHeight="1"/>
    <row r="383" ht="2.25" customHeight="1"/>
    <row r="384" ht="2.25" customHeight="1"/>
    <row r="385" ht="2.25" customHeight="1"/>
    <row r="386" ht="2.25" customHeight="1"/>
    <row r="387" ht="2.25" customHeight="1"/>
    <row r="388" ht="2.25" customHeight="1"/>
    <row r="389" ht="2.25" customHeight="1"/>
    <row r="390" ht="2.25" customHeight="1"/>
    <row r="391" ht="2.25" customHeight="1"/>
    <row r="392" ht="2.25" customHeight="1"/>
    <row r="393" ht="2.25" customHeight="1"/>
    <row r="394" ht="2.25" customHeight="1"/>
    <row r="395" ht="2.25" customHeight="1"/>
    <row r="396" ht="2.25" customHeight="1"/>
    <row r="397" ht="2.25" customHeight="1"/>
    <row r="398" ht="2.25" customHeight="1"/>
    <row r="399" ht="2.25" customHeight="1"/>
    <row r="400" ht="2.25" customHeight="1"/>
    <row r="401" ht="2.25" customHeight="1"/>
    <row r="402" ht="2.25" customHeight="1"/>
    <row r="403" ht="2.25" customHeight="1"/>
    <row r="404" ht="2.25" customHeight="1"/>
    <row r="405" ht="2.25" customHeight="1"/>
    <row r="406" ht="2.25" customHeight="1"/>
    <row r="407" ht="2.25" customHeight="1"/>
    <row r="408" ht="2.25" customHeight="1"/>
    <row r="409" ht="2.25" customHeight="1"/>
    <row r="410" ht="2.25" customHeight="1"/>
    <row r="411" ht="2.25" customHeight="1"/>
    <row r="412" ht="2.25" customHeight="1"/>
    <row r="413" ht="2.25" customHeight="1"/>
    <row r="414" ht="2.25" customHeight="1"/>
    <row r="415" ht="2.25" customHeight="1"/>
    <row r="416" ht="2.25" customHeight="1"/>
    <row r="417" ht="2.25" customHeight="1"/>
    <row r="418" ht="2.25" customHeight="1"/>
    <row r="419" ht="2.25" customHeight="1"/>
    <row r="420" ht="2.25" customHeight="1"/>
    <row r="421" ht="2.25" customHeight="1"/>
    <row r="422" ht="2.25" customHeight="1"/>
    <row r="423" ht="2.25" customHeight="1"/>
    <row r="424" ht="2.25" customHeight="1"/>
    <row r="425" ht="2.25" customHeight="1"/>
    <row r="426" ht="2.25" customHeight="1"/>
    <row r="427" ht="2.25" customHeight="1"/>
    <row r="428" ht="2.25" customHeight="1"/>
    <row r="429" ht="2.25" customHeight="1"/>
    <row r="430" ht="2.25" customHeight="1"/>
    <row r="431" ht="2.25" customHeight="1"/>
    <row r="432" ht="2.25" customHeight="1"/>
    <row r="433" ht="2.25" customHeight="1"/>
    <row r="434" ht="2.25" customHeight="1"/>
    <row r="435" ht="2.25" customHeight="1"/>
    <row r="436" ht="2.25" customHeight="1"/>
    <row r="437" ht="2.25" customHeight="1"/>
    <row r="438" ht="2.25" customHeight="1"/>
    <row r="439" ht="2.25" customHeight="1"/>
    <row r="440" ht="2.25" customHeight="1"/>
    <row r="441" ht="2.25" customHeight="1"/>
    <row r="442" ht="2.25" customHeight="1"/>
    <row r="443" ht="2.25" customHeight="1"/>
    <row r="444" ht="2.25" customHeight="1"/>
    <row r="445" ht="2.25" customHeight="1"/>
    <row r="446" ht="2.25" customHeight="1"/>
    <row r="447" ht="2.25" customHeight="1"/>
    <row r="448" ht="2.25" customHeight="1"/>
    <row r="449" ht="2.25" customHeight="1"/>
    <row r="450" ht="2.25" customHeight="1"/>
    <row r="451" ht="2.25" customHeight="1"/>
    <row r="452" ht="2.25" customHeight="1"/>
    <row r="453" ht="2.25" customHeight="1"/>
    <row r="454" ht="2.25" customHeight="1"/>
    <row r="455" ht="2.25" customHeight="1"/>
    <row r="456" ht="2.25" customHeight="1"/>
    <row r="457" ht="2.25" customHeight="1"/>
    <row r="458" ht="2.25" customHeight="1"/>
    <row r="459" ht="2.25" customHeight="1"/>
    <row r="460" ht="2.25" customHeight="1"/>
    <row r="461" ht="2.25" customHeight="1"/>
    <row r="462" ht="2.25" customHeight="1"/>
    <row r="463" ht="2.25" customHeight="1"/>
    <row r="464" ht="2.25" customHeight="1"/>
    <row r="465" ht="2.25" customHeight="1"/>
    <row r="466" ht="2.25" customHeight="1"/>
    <row r="467" ht="2.25" customHeight="1"/>
    <row r="468" ht="2.25" customHeight="1"/>
    <row r="469" ht="2.25" customHeight="1"/>
    <row r="470" ht="2.25" customHeight="1"/>
    <row r="471" ht="2.25" customHeight="1"/>
    <row r="472" ht="2.25" customHeight="1"/>
    <row r="473" ht="2.25" customHeight="1"/>
    <row r="474" ht="2.25" customHeight="1"/>
    <row r="475" ht="2.25" customHeight="1"/>
    <row r="476" ht="2.25" customHeight="1"/>
    <row r="477" ht="2.25" customHeight="1"/>
    <row r="478" ht="2.25" customHeight="1"/>
    <row r="479" ht="2.25" customHeight="1"/>
    <row r="480" ht="2.25" customHeight="1"/>
    <row r="481" ht="2.25" customHeight="1"/>
    <row r="482" ht="2.25" customHeight="1"/>
    <row r="483" ht="2.25" customHeight="1"/>
    <row r="484" ht="2.25" customHeight="1"/>
    <row r="485" ht="2.25" customHeight="1"/>
    <row r="486" ht="2.25" customHeight="1"/>
    <row r="487" ht="2.25" customHeight="1"/>
    <row r="488" ht="2.25" customHeight="1"/>
    <row r="489" ht="2.25" customHeight="1"/>
    <row r="490" ht="2.25" customHeight="1"/>
    <row r="491" ht="2.25" customHeight="1"/>
    <row r="492" ht="2.25" customHeight="1"/>
    <row r="493" ht="2.25" customHeight="1"/>
    <row r="494" ht="2.25" customHeight="1"/>
    <row r="495" ht="2.25" customHeight="1"/>
    <row r="496" ht="2.25" customHeight="1"/>
    <row r="497" ht="2.25" customHeight="1"/>
    <row r="498" ht="2.25" customHeight="1"/>
    <row r="499" ht="2.25" customHeight="1"/>
    <row r="500" ht="2.25" customHeight="1"/>
    <row r="501" ht="2.25" customHeight="1"/>
    <row r="502" ht="2.25" customHeight="1"/>
    <row r="503" ht="2.25" customHeight="1"/>
    <row r="504" ht="2.25" customHeight="1"/>
    <row r="505" ht="2.25" customHeight="1"/>
    <row r="506" ht="2.25" customHeight="1"/>
    <row r="507" ht="2.25" customHeight="1"/>
    <row r="508" ht="2.25" customHeight="1"/>
    <row r="509" ht="2.25" customHeight="1"/>
    <row r="510" ht="2.25" customHeight="1"/>
    <row r="511" ht="2.25" customHeight="1"/>
    <row r="512" ht="2.25" customHeight="1"/>
    <row r="513" ht="2.25" customHeight="1"/>
    <row r="514" ht="2.25" customHeight="1"/>
    <row r="515" ht="2.25" customHeight="1"/>
    <row r="516" ht="2.25" customHeight="1"/>
    <row r="517" ht="2.25" customHeight="1"/>
    <row r="518" ht="2.25" customHeight="1"/>
    <row r="519" ht="2.25" customHeight="1"/>
    <row r="520" ht="2.25" customHeight="1"/>
    <row r="521" ht="2.25" customHeight="1"/>
    <row r="522" ht="2.25" customHeight="1"/>
    <row r="523" ht="2.25" customHeight="1"/>
    <row r="524" ht="2.25" customHeight="1"/>
    <row r="525" ht="2.25" customHeight="1"/>
    <row r="526" ht="2.25" customHeight="1"/>
    <row r="527" ht="2.25" customHeight="1"/>
    <row r="528" ht="2.25" customHeight="1"/>
    <row r="529" ht="2.25" customHeight="1"/>
    <row r="530" ht="2.25" customHeight="1"/>
    <row r="531" ht="2.25" customHeight="1"/>
    <row r="532" ht="2.25" customHeight="1"/>
    <row r="533" ht="2.25" customHeight="1"/>
    <row r="534" ht="2.25" customHeight="1"/>
    <row r="535" ht="2.25" customHeight="1"/>
    <row r="536" ht="2.25" customHeight="1"/>
    <row r="537" ht="2.25" customHeight="1"/>
    <row r="538" ht="2.25" customHeight="1"/>
    <row r="539" ht="2.25" customHeight="1"/>
    <row r="540" ht="2.25" customHeight="1"/>
    <row r="541" ht="2.25" customHeight="1"/>
    <row r="542" ht="2.25" customHeight="1"/>
    <row r="543" ht="2.25" customHeight="1"/>
    <row r="544" ht="2.25" customHeight="1"/>
    <row r="545" ht="2.25" customHeight="1"/>
    <row r="546" ht="2.25" customHeight="1"/>
    <row r="547" ht="2.25" customHeight="1"/>
    <row r="548" ht="2.25" customHeight="1"/>
    <row r="549" ht="2.25" customHeight="1"/>
    <row r="550" ht="2.25" customHeight="1"/>
    <row r="551" ht="2.25" customHeight="1"/>
    <row r="552" ht="2.25" customHeight="1"/>
    <row r="553" ht="2.25" customHeight="1"/>
    <row r="554" ht="2.25" customHeight="1"/>
    <row r="555" ht="2.25" customHeight="1"/>
    <row r="556" ht="2.25" customHeight="1"/>
    <row r="557" ht="2.25" customHeight="1"/>
    <row r="558" ht="2.25" customHeight="1"/>
    <row r="559" ht="2.25" customHeight="1"/>
    <row r="560" ht="2.25" customHeight="1"/>
    <row r="561" ht="2.25" customHeight="1"/>
    <row r="562" ht="2.25" customHeight="1"/>
    <row r="563" ht="2.25" customHeight="1"/>
    <row r="564" ht="2.25" customHeight="1"/>
    <row r="565" ht="2.25" customHeight="1"/>
    <row r="566" ht="2.25" customHeight="1"/>
    <row r="567" ht="2.25" customHeight="1"/>
    <row r="568" ht="2.25" customHeight="1"/>
    <row r="569" ht="2.25" customHeight="1"/>
    <row r="570" ht="2.25" customHeight="1"/>
    <row r="571" ht="2.25" customHeight="1"/>
    <row r="572" ht="2.25" customHeight="1"/>
    <row r="573" ht="2.25" customHeight="1"/>
    <row r="574" ht="2.25" customHeight="1"/>
    <row r="575" ht="2.25" customHeight="1"/>
    <row r="576" ht="2.25" customHeight="1"/>
    <row r="577" ht="2.25" customHeight="1"/>
    <row r="578" ht="2.25" customHeight="1"/>
    <row r="579" ht="2.25" customHeight="1"/>
    <row r="580" ht="2.25" customHeight="1"/>
    <row r="581" ht="2.25" customHeight="1"/>
    <row r="582" ht="2.25" customHeight="1"/>
    <row r="583" ht="2.25" customHeight="1"/>
    <row r="584" ht="2.25" customHeight="1"/>
    <row r="585" ht="2.25" customHeight="1"/>
    <row r="586" ht="2.25" customHeight="1"/>
    <row r="587" ht="2.25" customHeight="1"/>
    <row r="588" ht="2.25" customHeight="1"/>
    <row r="589" ht="2.25" customHeight="1"/>
    <row r="590" ht="2.25" customHeight="1"/>
    <row r="591" ht="2.25" customHeight="1"/>
    <row r="592" ht="2.25" customHeight="1"/>
    <row r="593" ht="2.25" customHeight="1"/>
    <row r="594" ht="2.25" customHeight="1"/>
    <row r="595" ht="2.25" customHeight="1"/>
    <row r="596" ht="2.25" customHeight="1"/>
    <row r="597" ht="2.25" customHeight="1"/>
    <row r="598" ht="2.25" customHeight="1"/>
    <row r="599" ht="2.25" customHeight="1"/>
    <row r="600" ht="2.25" customHeight="1"/>
    <row r="601" ht="2.25" customHeight="1"/>
    <row r="602" ht="2.25" customHeight="1"/>
    <row r="603" ht="2.25" customHeight="1"/>
    <row r="604" ht="2.25" customHeight="1"/>
    <row r="605" ht="2.25" customHeight="1"/>
    <row r="606" ht="2.25" customHeight="1"/>
    <row r="607" ht="2.25" customHeight="1"/>
    <row r="608" ht="2.25" customHeight="1"/>
    <row r="609" ht="2.25" customHeight="1"/>
    <row r="610" ht="2.25" customHeight="1"/>
    <row r="611" ht="2.25" customHeight="1"/>
    <row r="612" ht="2.25" customHeight="1"/>
    <row r="613" ht="2.25" customHeight="1"/>
    <row r="614" ht="2.25" customHeight="1"/>
    <row r="615" ht="2.25" customHeight="1"/>
    <row r="616" ht="2.25" customHeight="1"/>
    <row r="617" ht="2.25" customHeight="1"/>
    <row r="618" ht="2.25" customHeight="1"/>
    <row r="619" ht="2.25" customHeight="1"/>
    <row r="620" ht="2.25" customHeight="1"/>
    <row r="621" ht="2.25" customHeight="1"/>
    <row r="622" ht="2.25" customHeight="1"/>
    <row r="623" ht="2.25" customHeight="1"/>
    <row r="624" ht="2.25" customHeight="1"/>
    <row r="625" ht="2.25" customHeight="1"/>
    <row r="626" ht="2.25" customHeight="1"/>
    <row r="627" ht="2.25" customHeight="1"/>
    <row r="628" ht="2.25" customHeight="1"/>
    <row r="629" ht="2.25" customHeight="1"/>
    <row r="630" ht="2.25" customHeight="1"/>
    <row r="631" ht="2.25" customHeight="1"/>
    <row r="632" ht="2.25" customHeight="1"/>
    <row r="633" ht="2.25" customHeight="1"/>
    <row r="634" ht="2.25" customHeight="1"/>
    <row r="635" ht="2.25" customHeight="1"/>
    <row r="636" ht="2.25" customHeight="1"/>
    <row r="637" ht="2.25" customHeight="1"/>
    <row r="638" ht="2.25" customHeight="1"/>
    <row r="639" ht="2.25" customHeight="1"/>
    <row r="640" ht="2.25" customHeight="1"/>
    <row r="641" ht="2.25" customHeight="1"/>
    <row r="642" ht="2.25" customHeight="1"/>
    <row r="643" ht="2.25" customHeight="1"/>
    <row r="644" ht="2.25" customHeight="1"/>
    <row r="645" ht="2.25" customHeight="1"/>
    <row r="646" ht="2.25" customHeight="1"/>
    <row r="647" ht="2.25" customHeight="1"/>
    <row r="648" ht="2.25" customHeight="1"/>
    <row r="649" ht="2.25" customHeight="1"/>
    <row r="650" ht="2.25" customHeight="1"/>
    <row r="651" ht="2.25" customHeight="1"/>
    <row r="652" ht="2.25" customHeight="1"/>
    <row r="653" ht="2.25" customHeight="1"/>
    <row r="654" ht="2.25" customHeight="1"/>
    <row r="655" ht="2.25" customHeight="1"/>
    <row r="656" ht="2.25" customHeight="1"/>
    <row r="657" ht="2.25" customHeight="1"/>
    <row r="658" ht="2.25" customHeight="1"/>
    <row r="659" ht="2.25" customHeight="1"/>
    <row r="660" ht="2.25" customHeight="1"/>
    <row r="661" ht="2.25" customHeight="1"/>
    <row r="662" ht="2.25" customHeight="1"/>
    <row r="663" ht="2.25" customHeight="1"/>
    <row r="664" ht="2.25" customHeight="1"/>
    <row r="665" ht="2.25" customHeight="1"/>
    <row r="666" ht="2.25" customHeight="1"/>
    <row r="667" ht="2.25" customHeight="1"/>
    <row r="668" ht="2.25" customHeight="1"/>
    <row r="669" ht="2.25" customHeight="1"/>
    <row r="670" ht="2.25" customHeight="1"/>
    <row r="671" ht="2.25" customHeight="1"/>
    <row r="672" ht="2.25" customHeight="1"/>
    <row r="673" ht="2.25" customHeight="1"/>
    <row r="674" ht="2.25" customHeight="1"/>
    <row r="675" ht="2.25" customHeight="1"/>
    <row r="676" ht="2.25" customHeight="1"/>
    <row r="677" ht="2.25" customHeight="1"/>
    <row r="678" ht="2.25" customHeight="1"/>
    <row r="679" ht="2.25" customHeight="1"/>
    <row r="680" ht="2.25" customHeight="1"/>
    <row r="681" ht="2.25" customHeight="1"/>
    <row r="682" ht="2.25" customHeight="1"/>
    <row r="683" ht="2.25" customHeight="1"/>
    <row r="684" ht="2.25" customHeight="1"/>
    <row r="685" ht="2.25" customHeight="1"/>
    <row r="686" ht="2.25" customHeight="1"/>
    <row r="687" ht="2.25" customHeight="1"/>
    <row r="688" ht="2.25" customHeight="1"/>
    <row r="689" ht="2.25" customHeight="1"/>
    <row r="690" ht="2.25" customHeight="1"/>
    <row r="691" ht="2.25" customHeight="1"/>
    <row r="692" ht="2.25" customHeight="1"/>
    <row r="693" ht="2.25" customHeight="1"/>
    <row r="694" ht="2.25" customHeight="1"/>
    <row r="695" ht="2.25" customHeight="1"/>
    <row r="696" ht="2.25" customHeight="1"/>
    <row r="697" ht="2.25" customHeight="1"/>
    <row r="698" ht="2.25" customHeight="1"/>
    <row r="699" ht="2.25" customHeight="1"/>
    <row r="700" ht="2.25" customHeight="1"/>
    <row r="701" ht="2.25" customHeight="1"/>
    <row r="702" ht="2.25" customHeight="1"/>
    <row r="703" ht="2.25" customHeight="1"/>
    <row r="704" ht="2.25" customHeight="1"/>
    <row r="705" ht="2.25" customHeight="1"/>
    <row r="706" ht="2.25" customHeight="1"/>
    <row r="707" ht="2.25" customHeight="1"/>
    <row r="708" ht="2.25" customHeight="1"/>
    <row r="709" ht="2.25" customHeight="1"/>
    <row r="710" ht="2.25" customHeight="1"/>
    <row r="711" ht="2.25" customHeight="1"/>
    <row r="712" ht="2.25" customHeight="1"/>
    <row r="713" ht="2.25" customHeight="1"/>
    <row r="714" ht="2.25" customHeight="1"/>
    <row r="715" ht="2.25" customHeight="1"/>
    <row r="716" ht="2.25" customHeight="1"/>
    <row r="717" ht="2.25" customHeight="1"/>
    <row r="718" ht="2.25" customHeight="1"/>
    <row r="719" ht="2.25" customHeight="1"/>
    <row r="720" ht="2.25" customHeight="1"/>
    <row r="721" ht="2.25" customHeight="1"/>
    <row r="722" ht="2.25" customHeight="1"/>
    <row r="723" ht="2.25" customHeight="1"/>
    <row r="724" ht="2.25" customHeight="1"/>
    <row r="725" ht="2.25" customHeight="1"/>
    <row r="726" ht="2.25" customHeight="1"/>
    <row r="727" ht="2.25" customHeight="1"/>
    <row r="728" ht="2.25" customHeight="1"/>
    <row r="729" ht="2.25" customHeight="1"/>
    <row r="730" ht="2.25" customHeight="1"/>
    <row r="731" ht="2.25" customHeight="1"/>
    <row r="732" ht="2.25" customHeight="1"/>
    <row r="733" ht="2.25" customHeight="1"/>
    <row r="734" ht="2.25" customHeight="1"/>
    <row r="735" ht="2.25" customHeight="1"/>
    <row r="736" ht="2.25" customHeight="1"/>
    <row r="737" ht="2.25" customHeight="1"/>
    <row r="738" ht="2.25" customHeight="1"/>
    <row r="739" ht="2.25" customHeight="1"/>
    <row r="740" ht="2.25" customHeight="1"/>
    <row r="741" ht="2.25" customHeight="1"/>
    <row r="742" ht="2.25" customHeight="1"/>
    <row r="743" ht="2.25" customHeight="1"/>
    <row r="744" ht="2.25" customHeight="1"/>
    <row r="745" ht="2.25" customHeight="1"/>
    <row r="746" ht="2.25" customHeight="1"/>
    <row r="747" ht="2.25" customHeight="1"/>
    <row r="748" ht="2.25" customHeight="1"/>
    <row r="749" ht="2.25" customHeight="1"/>
    <row r="750" ht="2.25" customHeight="1"/>
    <row r="751" ht="2.25" customHeight="1"/>
    <row r="752" ht="2.25" customHeight="1"/>
    <row r="753" ht="2.25" customHeight="1"/>
    <row r="754" ht="2.25" customHeight="1"/>
    <row r="755" ht="2.25" customHeight="1"/>
    <row r="756" ht="2.25" customHeight="1"/>
    <row r="757" ht="2.25" customHeight="1"/>
    <row r="758" ht="2.25" customHeight="1"/>
    <row r="759" ht="2.25" customHeight="1"/>
    <row r="760" ht="2.25" customHeight="1"/>
    <row r="761" ht="2.25" customHeight="1"/>
    <row r="762" ht="2.25" customHeight="1"/>
    <row r="763" ht="2.25" customHeight="1"/>
    <row r="764" ht="2.25" customHeight="1"/>
    <row r="765" ht="2.25" customHeight="1"/>
    <row r="766" ht="2.25" customHeight="1"/>
    <row r="767" ht="2.25" customHeight="1"/>
    <row r="768" ht="2.25" customHeight="1"/>
    <row r="769" ht="2.25" customHeight="1"/>
    <row r="770" ht="2.25" customHeight="1"/>
    <row r="771" ht="2.25" customHeight="1"/>
    <row r="772" ht="2.25" customHeight="1"/>
    <row r="773" ht="2.25" customHeight="1"/>
    <row r="774" ht="2.25" customHeight="1"/>
    <row r="775" ht="2.25" customHeight="1"/>
    <row r="776" ht="2.25" customHeight="1"/>
    <row r="777" ht="2.25" customHeight="1"/>
    <row r="778" ht="2.25" customHeight="1"/>
    <row r="779" ht="2.25" customHeight="1"/>
    <row r="780" ht="2.25" customHeight="1"/>
    <row r="781" ht="2.25" customHeight="1"/>
    <row r="782" ht="2.25" customHeight="1"/>
    <row r="783" ht="2.25" customHeight="1"/>
    <row r="784" ht="2.25" customHeight="1"/>
    <row r="785" ht="2.25" customHeight="1"/>
    <row r="786" ht="2.25" customHeight="1"/>
    <row r="787" ht="2.25" customHeight="1"/>
    <row r="788" ht="2.25" customHeight="1"/>
    <row r="789" ht="2.25" customHeight="1"/>
    <row r="790" ht="2.25" customHeight="1"/>
    <row r="791" ht="2.25" customHeight="1"/>
    <row r="792" ht="2.25" customHeight="1"/>
    <row r="793" ht="2.25" customHeight="1"/>
    <row r="794" ht="2.25" customHeight="1"/>
    <row r="795" ht="2.25" customHeight="1"/>
    <row r="796" ht="2.25" customHeight="1"/>
    <row r="797" ht="2.25" customHeight="1"/>
    <row r="798" ht="2.25" customHeight="1"/>
    <row r="799" ht="2.25" customHeight="1"/>
    <row r="800" ht="2.25" customHeight="1"/>
    <row r="801" ht="2.25" customHeight="1"/>
    <row r="802" ht="2.25" customHeight="1"/>
    <row r="803" ht="2.25" customHeight="1"/>
    <row r="804" ht="2.25" customHeight="1"/>
    <row r="805" ht="2.25" customHeight="1"/>
    <row r="806" ht="2.25" customHeight="1"/>
    <row r="807" ht="2.25" customHeight="1"/>
    <row r="808" ht="2.25" customHeight="1"/>
    <row r="809" ht="2.25" customHeight="1"/>
    <row r="810" ht="2.25" customHeight="1"/>
    <row r="811" ht="2.25" customHeight="1"/>
    <row r="812" ht="2.25" customHeight="1"/>
    <row r="813" ht="2.25" customHeight="1"/>
    <row r="814" ht="2.25" customHeight="1"/>
    <row r="815" ht="2.25" customHeight="1"/>
    <row r="816" ht="2.25" customHeight="1"/>
    <row r="817" ht="2.25" customHeight="1"/>
    <row r="818" ht="2.25" customHeight="1"/>
    <row r="819" ht="2.25" customHeight="1"/>
    <row r="820" ht="2.25" customHeight="1"/>
    <row r="821" ht="2.25" customHeight="1"/>
    <row r="822" ht="2.25" customHeight="1"/>
    <row r="823" ht="2.25" customHeight="1"/>
    <row r="824" ht="2.25" customHeight="1"/>
    <row r="825" ht="2.25" customHeight="1"/>
    <row r="826" ht="2.25" customHeight="1"/>
    <row r="827" ht="2.25" customHeight="1"/>
    <row r="828" ht="2.25" customHeight="1"/>
    <row r="829" ht="2.25" customHeight="1"/>
    <row r="830" ht="2.25" customHeight="1"/>
    <row r="831" ht="2.25" customHeight="1"/>
    <row r="832" ht="2.25" customHeight="1"/>
    <row r="833" ht="2.25" customHeight="1"/>
    <row r="834" ht="2.25" customHeight="1"/>
    <row r="835" ht="2.25" customHeight="1"/>
    <row r="836" ht="2.25" customHeight="1"/>
    <row r="837" ht="2.25" customHeight="1"/>
    <row r="838" ht="2.25" customHeight="1"/>
    <row r="839" ht="2.25" customHeight="1"/>
    <row r="840" ht="2.25" customHeight="1"/>
    <row r="841" ht="2.25" customHeight="1"/>
    <row r="842" ht="2.25" customHeight="1"/>
    <row r="843" ht="2.25" customHeight="1"/>
    <row r="844" ht="2.25" customHeight="1"/>
    <row r="845" ht="2.25" customHeight="1"/>
    <row r="846" ht="2.25" customHeight="1"/>
    <row r="847" ht="2.25" customHeight="1"/>
    <row r="848" ht="2.25" customHeight="1"/>
    <row r="849" ht="2.25" customHeight="1"/>
    <row r="850" ht="2.25" customHeight="1"/>
    <row r="851" ht="2.25" customHeight="1"/>
    <row r="852" ht="2.25" customHeight="1"/>
    <row r="853" ht="2.25" customHeight="1"/>
    <row r="854" ht="2.25" customHeight="1"/>
    <row r="855" ht="2.25" customHeight="1"/>
    <row r="856" ht="2.25" customHeight="1"/>
    <row r="857" ht="2.25" customHeight="1"/>
    <row r="858" ht="2.25" customHeight="1"/>
    <row r="859" ht="2.25" customHeight="1"/>
    <row r="860" ht="2.25" customHeight="1"/>
    <row r="861" ht="2.25" customHeight="1"/>
    <row r="862" ht="2.25" customHeight="1"/>
    <row r="863" ht="2.25" customHeight="1"/>
    <row r="864" ht="2.25" customHeight="1"/>
    <row r="865" ht="2.25" customHeight="1"/>
    <row r="866" ht="2.25" customHeight="1"/>
    <row r="867" ht="2.25" customHeight="1"/>
    <row r="868" ht="2.25" customHeight="1"/>
    <row r="869" ht="2.25" customHeight="1"/>
    <row r="870" ht="2.25" customHeight="1"/>
    <row r="871" ht="2.25" customHeight="1"/>
    <row r="872" ht="2.25" customHeight="1"/>
    <row r="873" ht="2.25" customHeight="1"/>
    <row r="874" ht="2.25" customHeight="1"/>
    <row r="875" ht="2.25" customHeight="1"/>
    <row r="876" ht="2.25" customHeight="1"/>
    <row r="877" ht="2.25" customHeight="1"/>
    <row r="878" ht="2.25" customHeight="1"/>
    <row r="879" ht="2.25" customHeight="1"/>
    <row r="880" ht="2.25" customHeight="1"/>
    <row r="881" ht="2.25" customHeight="1"/>
    <row r="882" ht="2.25" customHeight="1"/>
    <row r="883" ht="2.25" customHeight="1"/>
    <row r="884" ht="2.25" customHeight="1"/>
    <row r="885" ht="2.25" customHeight="1"/>
    <row r="886" ht="2.25" customHeight="1"/>
    <row r="887" ht="2.25" customHeight="1"/>
    <row r="888" ht="2.25" customHeight="1"/>
    <row r="889" ht="2.25" customHeight="1"/>
    <row r="890" ht="2.25" customHeight="1"/>
    <row r="891" ht="2.25" customHeight="1"/>
    <row r="892" ht="2.25" customHeight="1"/>
    <row r="893" ht="2.25" customHeight="1"/>
    <row r="894" ht="2.25" customHeight="1"/>
    <row r="895" ht="2.25" customHeight="1"/>
    <row r="896" ht="2.25" customHeight="1"/>
    <row r="897" ht="2.25" customHeight="1"/>
    <row r="898" ht="2.25" customHeight="1"/>
    <row r="899" ht="2.25" customHeight="1"/>
    <row r="900" ht="2.25" customHeight="1"/>
    <row r="901" ht="2.25" customHeight="1"/>
    <row r="902" ht="2.25" customHeight="1"/>
    <row r="903" ht="2.25" customHeight="1"/>
    <row r="904" ht="2.25" customHeight="1"/>
    <row r="905" ht="2.25" customHeight="1"/>
    <row r="906" ht="2.25" customHeight="1"/>
    <row r="907" ht="2.25" customHeight="1"/>
    <row r="908" ht="2.25" customHeight="1"/>
    <row r="909" ht="2.25" customHeight="1"/>
    <row r="910" ht="2.25" customHeight="1"/>
    <row r="911" ht="2.25" customHeight="1"/>
    <row r="912" ht="2.25" customHeight="1"/>
    <row r="913" ht="2.25" customHeight="1"/>
    <row r="914" ht="2.25" customHeight="1"/>
    <row r="915" ht="2.25" customHeight="1"/>
    <row r="916" ht="2.25" customHeight="1"/>
    <row r="917" ht="2.25" customHeight="1"/>
    <row r="918" ht="2.25" customHeight="1"/>
    <row r="919" ht="2.25" customHeight="1"/>
    <row r="920" ht="2.25" customHeight="1"/>
    <row r="921" ht="2.25" customHeight="1"/>
    <row r="922" ht="2.25" customHeight="1"/>
    <row r="923" ht="2.25" customHeight="1"/>
    <row r="924" ht="2.25" customHeight="1"/>
    <row r="925" ht="2.25" customHeight="1"/>
    <row r="926" ht="2.25" customHeight="1"/>
    <row r="927" ht="2.25" customHeight="1"/>
    <row r="928" ht="2.25" customHeight="1"/>
    <row r="929" ht="2.25" customHeight="1"/>
    <row r="930" ht="2.25" customHeight="1"/>
    <row r="931" ht="2.25" customHeight="1"/>
    <row r="932" ht="2.25" customHeight="1"/>
    <row r="933" ht="2.25" customHeight="1"/>
    <row r="934" ht="2.25" customHeight="1"/>
    <row r="935" ht="2.25" customHeight="1"/>
    <row r="936" ht="2.25" customHeight="1"/>
    <row r="937" ht="2.25" customHeight="1"/>
    <row r="938" ht="2.25" customHeight="1"/>
    <row r="939" ht="2.25" customHeight="1"/>
    <row r="940" ht="2.25" customHeight="1"/>
    <row r="941" ht="2.25" customHeight="1"/>
    <row r="942" ht="2.25" customHeight="1"/>
    <row r="943" ht="2.25" customHeight="1"/>
    <row r="944" ht="2.25" customHeight="1"/>
    <row r="945" ht="2.25" customHeight="1"/>
    <row r="946" ht="2.25" customHeight="1"/>
    <row r="947" ht="2.25" customHeight="1"/>
    <row r="948" ht="2.25" customHeight="1"/>
    <row r="949" ht="2.25" customHeight="1"/>
    <row r="950" ht="2.25" customHeight="1"/>
    <row r="951" ht="2.25" customHeight="1"/>
    <row r="952" ht="2.25" customHeight="1"/>
    <row r="953" ht="2.25" customHeight="1"/>
    <row r="954" ht="2.25" customHeight="1"/>
    <row r="955" ht="2.25" customHeight="1"/>
    <row r="956" ht="2.25" customHeight="1"/>
    <row r="957" ht="2.25" customHeight="1"/>
    <row r="958" ht="2.25" customHeight="1"/>
    <row r="959" ht="2.25" customHeight="1"/>
    <row r="960" ht="2.25" customHeight="1"/>
    <row r="961" ht="2.25" customHeight="1"/>
    <row r="962" ht="2.25" customHeight="1"/>
    <row r="963" ht="2.25" customHeight="1"/>
    <row r="964" ht="2.25" customHeight="1"/>
    <row r="965" ht="2.25" customHeight="1"/>
    <row r="966" ht="2.25" customHeight="1"/>
    <row r="967" ht="2.25" customHeight="1"/>
    <row r="968" ht="2.25" customHeight="1"/>
    <row r="969" ht="2.25" customHeight="1"/>
    <row r="970" ht="2.25" customHeight="1"/>
    <row r="971" ht="2.25" customHeight="1"/>
    <row r="972" ht="2.25" customHeight="1"/>
    <row r="973" ht="2.25" customHeight="1"/>
    <row r="974" ht="2.25" customHeight="1"/>
    <row r="975" ht="2.25" customHeight="1"/>
    <row r="976" ht="2.25" customHeight="1"/>
    <row r="977" ht="2.25" customHeight="1"/>
    <row r="978" ht="2.25" customHeight="1"/>
    <row r="979" ht="2.25" customHeight="1"/>
    <row r="980" ht="2.25" customHeight="1"/>
    <row r="981" ht="2.25" customHeight="1"/>
    <row r="982" ht="2.25" customHeight="1"/>
    <row r="983" ht="2.25" customHeight="1"/>
    <row r="984" ht="2.25" customHeight="1"/>
    <row r="985" ht="2.25" customHeight="1"/>
    <row r="986" ht="2.25" customHeight="1"/>
    <row r="987" ht="2.25" customHeight="1"/>
    <row r="988" ht="2.25" customHeight="1"/>
    <row r="989" ht="2.25" customHeight="1"/>
    <row r="990" ht="2.25" customHeight="1"/>
    <row r="991" ht="2.25" customHeight="1"/>
    <row r="992" ht="2.25" customHeight="1"/>
    <row r="993" ht="2.25" customHeight="1"/>
    <row r="994" ht="2.25" customHeight="1"/>
    <row r="995" ht="2.25" customHeight="1"/>
    <row r="996" ht="2.25" customHeight="1"/>
    <row r="997" ht="2.25" customHeight="1"/>
    <row r="998" ht="2.25" customHeight="1"/>
    <row r="999" ht="2.25" customHeight="1"/>
    <row r="1000" ht="2.25" customHeight="1"/>
    <row r="1001" ht="2.25" customHeight="1"/>
    <row r="1002" ht="2.25" customHeight="1"/>
    <row r="1003" ht="2.25" customHeight="1"/>
    <row r="1004" ht="2.25" customHeight="1"/>
    <row r="1005" ht="2.25" customHeight="1"/>
    <row r="1006" ht="2.25" customHeight="1"/>
    <row r="1007" ht="2.25" customHeight="1"/>
    <row r="1008" ht="2.25" customHeight="1"/>
    <row r="1009" ht="2.25" customHeight="1"/>
    <row r="1010" ht="2.25" customHeight="1"/>
    <row r="1011" ht="2.25" customHeight="1"/>
    <row r="1012" ht="2.25" customHeight="1"/>
    <row r="1013" ht="2.25" customHeight="1"/>
    <row r="1014" ht="2.25" customHeight="1"/>
    <row r="1015" ht="2.25" customHeight="1"/>
    <row r="1016" ht="2.25" customHeight="1"/>
    <row r="1017" ht="2.25" customHeight="1"/>
    <row r="1018" ht="2.25" customHeight="1"/>
    <row r="1019" ht="2.25" customHeight="1"/>
    <row r="1020" ht="2.25" customHeight="1"/>
    <row r="1021" ht="2.25" customHeight="1"/>
    <row r="1022" ht="2.25" customHeight="1"/>
    <row r="1023" ht="2.25" customHeight="1"/>
    <row r="1024" ht="2.25" customHeight="1"/>
    <row r="1025" ht="2.25" customHeight="1"/>
    <row r="1026" ht="2.25" customHeight="1"/>
    <row r="1027" ht="2.25" customHeight="1"/>
    <row r="1028" ht="2.25" customHeight="1"/>
    <row r="1029" ht="2.25" customHeight="1"/>
    <row r="1030" ht="2.25" customHeight="1"/>
    <row r="1031" ht="2.25" customHeight="1"/>
    <row r="1032" ht="2.25" customHeight="1"/>
    <row r="1033" ht="2.25" customHeight="1"/>
    <row r="1034" ht="2.25" customHeight="1"/>
    <row r="1035" ht="2.25" customHeight="1"/>
    <row r="1036" ht="2.25" customHeight="1"/>
    <row r="1037" ht="2.25" customHeight="1"/>
    <row r="1038" ht="2.25" customHeight="1"/>
    <row r="1039" ht="2.25" customHeight="1"/>
    <row r="1040" ht="2.25" customHeight="1"/>
    <row r="1041" ht="2.25" customHeight="1"/>
    <row r="1042" ht="2.25" customHeight="1"/>
    <row r="1043" ht="2.25" customHeight="1"/>
    <row r="1044" ht="2.25" customHeight="1"/>
    <row r="1045" ht="2.25" customHeight="1"/>
    <row r="1046" ht="2.25" customHeight="1"/>
  </sheetData>
  <sheetProtection algorithmName="SHA-512" hashValue="C3+RJpvpkZCYkIhNqq4I+QxzYJrTjLjA5BmBOkVuNV4W9DhRylgdxoARe6A2gxWu7zyqAJQCQE7CKvWWfgT84w==" saltValue="8zmItXoJ76lot0GIxXTJPA==" spinCount="100000" sheet="1" selectLockedCells="1"/>
  <mergeCells count="4">
    <mergeCell ref="N5:N7"/>
    <mergeCell ref="A1:H1"/>
    <mergeCell ref="B2:C2"/>
    <mergeCell ref="A5:A6"/>
  </mergeCells>
  <phoneticPr fontId="35" type="noConversion"/>
  <printOptions gridLines="1"/>
  <pageMargins left="0.7" right="0.7" top="0.75" bottom="0.75" header="0.3" footer="0.3"/>
  <pageSetup scale="28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O12"/>
  <sheetViews>
    <sheetView zoomScaleNormal="100" zoomScaleSheetLayoutView="80" workbookViewId="0">
      <pane ySplit="4" topLeftCell="A10" activePane="bottomLeft" state="frozen"/>
      <selection activeCell="N2" sqref="N2"/>
      <selection pane="bottomLeft" activeCell="K12" sqref="K12"/>
    </sheetView>
  </sheetViews>
  <sheetFormatPr defaultColWidth="9.28515625" defaultRowHeight="16.5"/>
  <cols>
    <col min="1" max="1" width="7.7109375" style="1" customWidth="1"/>
    <col min="2" max="2" width="33.7109375" style="8" customWidth="1"/>
    <col min="3" max="14" width="10.7109375" style="8" customWidth="1"/>
    <col min="15" max="15" width="9.28515625" style="8" hidden="1" customWidth="1"/>
    <col min="16" max="16384" width="9.28515625" style="8"/>
  </cols>
  <sheetData>
    <row r="1" spans="1:14" s="124" customFormat="1" ht="21">
      <c r="A1" s="168"/>
      <c r="B1" s="159" t="s">
        <v>440</v>
      </c>
      <c r="C1" s="159"/>
      <c r="D1" s="159"/>
      <c r="E1" s="159" t="s">
        <v>441</v>
      </c>
      <c r="F1" s="159" t="s">
        <v>442</v>
      </c>
      <c r="G1" s="159"/>
      <c r="H1" s="159"/>
      <c r="I1" s="159"/>
      <c r="J1" s="159"/>
      <c r="K1" s="159"/>
      <c r="L1" s="159"/>
      <c r="M1" s="159"/>
      <c r="N1" s="160"/>
    </row>
    <row r="2" spans="1:14" s="165" customFormat="1" ht="21">
      <c r="A2" s="169"/>
      <c r="B2" s="161" t="str">
        <f>'OTHER REPORTS'!A3</f>
        <v>TUESDAY 21ST OCTOBER 2025</v>
      </c>
      <c r="C2" s="161"/>
      <c r="D2" s="170"/>
      <c r="E2" s="162"/>
      <c r="F2" s="163"/>
      <c r="G2" s="163"/>
      <c r="H2" s="163"/>
      <c r="I2" s="163"/>
      <c r="J2" s="163"/>
      <c r="K2" s="163"/>
      <c r="L2" s="163"/>
      <c r="M2" s="163"/>
      <c r="N2" s="164"/>
    </row>
    <row r="3" spans="1:14" s="165" customFormat="1" ht="21">
      <c r="A3" s="171"/>
      <c r="B3" s="161"/>
      <c r="C3" s="172" t="s">
        <v>443</v>
      </c>
      <c r="D3" s="161"/>
      <c r="E3" s="161"/>
      <c r="F3" s="161"/>
      <c r="G3" s="161"/>
      <c r="H3" s="161"/>
      <c r="I3" s="161"/>
      <c r="J3" s="161"/>
      <c r="K3" s="161"/>
      <c r="L3" s="161"/>
      <c r="M3" s="161"/>
      <c r="N3" s="170"/>
    </row>
    <row r="4" spans="1:14" s="165" customFormat="1" ht="21">
      <c r="A4" s="166"/>
      <c r="B4" s="167" t="s">
        <v>444</v>
      </c>
      <c r="C4" s="173" t="s">
        <v>153</v>
      </c>
      <c r="D4" s="167"/>
      <c r="E4" s="167"/>
      <c r="F4" s="174"/>
      <c r="G4" s="173" t="s">
        <v>154</v>
      </c>
      <c r="H4" s="167"/>
      <c r="I4" s="167"/>
      <c r="J4" s="174"/>
      <c r="K4" s="173" t="s">
        <v>155</v>
      </c>
      <c r="L4" s="167"/>
      <c r="M4" s="167"/>
      <c r="N4" s="174"/>
    </row>
    <row r="5" spans="1:14" s="146" customFormat="1" ht="42" customHeight="1">
      <c r="A5" s="492" t="s">
        <v>445</v>
      </c>
      <c r="B5" s="502" t="s">
        <v>670</v>
      </c>
      <c r="C5" s="184">
        <v>1603</v>
      </c>
      <c r="D5" s="184">
        <v>1604</v>
      </c>
      <c r="E5" s="184"/>
      <c r="F5" s="184"/>
      <c r="G5" s="184">
        <v>1603</v>
      </c>
      <c r="H5" s="184">
        <v>1604</v>
      </c>
      <c r="I5" s="184"/>
      <c r="J5" s="184"/>
      <c r="K5" s="488">
        <v>1603</v>
      </c>
      <c r="L5" s="184">
        <v>1604</v>
      </c>
      <c r="M5" s="184">
        <v>1605</v>
      </c>
      <c r="N5" s="184"/>
    </row>
    <row r="6" spans="1:14" s="146" customFormat="1" ht="42" customHeight="1">
      <c r="A6" s="506" t="s">
        <v>446</v>
      </c>
      <c r="B6" s="503" t="s">
        <v>673</v>
      </c>
      <c r="C6" s="500">
        <v>1605</v>
      </c>
      <c r="D6" s="184">
        <v>1804</v>
      </c>
      <c r="E6" s="184">
        <v>1901</v>
      </c>
      <c r="F6" s="184"/>
      <c r="G6" s="184">
        <v>1605</v>
      </c>
      <c r="H6" s="184"/>
      <c r="I6" s="184"/>
      <c r="J6" s="184"/>
      <c r="K6" s="184">
        <v>1606</v>
      </c>
      <c r="L6" s="184">
        <v>1804</v>
      </c>
      <c r="M6" s="184"/>
      <c r="N6" s="184"/>
    </row>
    <row r="7" spans="1:14" s="146" customFormat="1" ht="42" customHeight="1">
      <c r="A7" s="507" t="s">
        <v>447</v>
      </c>
      <c r="B7" s="503" t="s">
        <v>134</v>
      </c>
      <c r="C7" s="500"/>
      <c r="D7" s="184"/>
      <c r="E7" s="184"/>
      <c r="F7" s="184"/>
      <c r="G7" s="184"/>
      <c r="H7" s="184"/>
      <c r="I7" s="184"/>
      <c r="J7" s="184"/>
      <c r="K7" s="184"/>
      <c r="L7" s="184"/>
      <c r="M7" s="184"/>
      <c r="N7" s="184"/>
    </row>
    <row r="8" spans="1:14" s="146" customFormat="1" ht="42" customHeight="1">
      <c r="A8" s="499" t="s">
        <v>448</v>
      </c>
      <c r="B8" s="501" t="s">
        <v>674</v>
      </c>
      <c r="C8" s="184">
        <v>1902</v>
      </c>
      <c r="D8" s="184">
        <v>1903</v>
      </c>
      <c r="E8" s="184"/>
      <c r="F8" s="184"/>
      <c r="G8" s="184">
        <v>1902</v>
      </c>
      <c r="H8" s="184">
        <v>1903</v>
      </c>
      <c r="I8" s="184"/>
      <c r="J8" s="184"/>
      <c r="K8" s="184"/>
      <c r="L8" s="184">
        <v>1904</v>
      </c>
      <c r="M8" s="184">
        <v>1905</v>
      </c>
      <c r="N8" s="184"/>
    </row>
    <row r="9" spans="1:14" s="146" customFormat="1" ht="42" customHeight="1">
      <c r="A9" s="492" t="s">
        <v>449</v>
      </c>
      <c r="B9" s="501" t="s">
        <v>690</v>
      </c>
      <c r="C9" s="184" t="s">
        <v>251</v>
      </c>
      <c r="D9" s="184"/>
      <c r="E9" s="184"/>
      <c r="F9" s="184"/>
      <c r="G9" s="184" t="s">
        <v>251</v>
      </c>
      <c r="H9" s="184"/>
      <c r="I9" s="184"/>
      <c r="J9" s="184"/>
      <c r="K9" s="184" t="s">
        <v>251</v>
      </c>
      <c r="L9" s="184" t="s">
        <v>255</v>
      </c>
      <c r="N9" s="184"/>
    </row>
    <row r="10" spans="1:14" s="146" customFormat="1" ht="42" customHeight="1">
      <c r="A10" s="491" t="s">
        <v>450</v>
      </c>
      <c r="B10" s="489" t="s">
        <v>691</v>
      </c>
      <c r="C10" s="633">
        <v>2101</v>
      </c>
      <c r="D10" s="633"/>
      <c r="E10" s="633"/>
      <c r="F10" s="633"/>
      <c r="G10" s="633"/>
      <c r="H10" s="633"/>
      <c r="I10" s="490"/>
      <c r="J10" s="633"/>
      <c r="K10" s="633">
        <v>2102</v>
      </c>
      <c r="L10" s="633">
        <v>2103</v>
      </c>
      <c r="M10" s="633"/>
      <c r="N10" s="633"/>
    </row>
    <row r="11" spans="1:14" s="146" customFormat="1" ht="42" customHeight="1">
      <c r="A11" s="491" t="s">
        <v>451</v>
      </c>
      <c r="B11" s="489" t="s">
        <v>134</v>
      </c>
      <c r="C11" s="184"/>
      <c r="D11" s="184"/>
      <c r="E11" s="184"/>
      <c r="F11" s="184"/>
      <c r="G11" s="184"/>
      <c r="H11" s="184"/>
      <c r="I11" s="634"/>
      <c r="J11" s="489"/>
      <c r="K11" s="184"/>
      <c r="L11" s="184"/>
      <c r="M11" s="184"/>
      <c r="N11" s="489"/>
    </row>
    <row r="12" spans="1:14" ht="34.15" customHeight="1">
      <c r="A12" s="498" t="s">
        <v>452</v>
      </c>
      <c r="B12" s="489" t="s">
        <v>712</v>
      </c>
      <c r="C12" s="635" t="s">
        <v>657</v>
      </c>
      <c r="D12" s="635">
        <v>2201</v>
      </c>
      <c r="E12" s="635">
        <v>2202</v>
      </c>
      <c r="F12" s="635">
        <v>2203</v>
      </c>
      <c r="G12" s="635">
        <v>2201</v>
      </c>
      <c r="H12" s="635">
        <v>2202</v>
      </c>
      <c r="I12" s="635">
        <v>2203</v>
      </c>
      <c r="J12" s="635"/>
      <c r="K12" s="635">
        <v>2201</v>
      </c>
      <c r="L12" s="635">
        <v>2202</v>
      </c>
      <c r="M12" s="635">
        <v>2203</v>
      </c>
      <c r="N12" s="108"/>
    </row>
  </sheetData>
  <sheetProtection algorithmName="SHA-512" hashValue="WuQmqSWXy2fvsvAGu62Vb3AJbxMtNg8EIDyLciqPnNdzIc0wxvokSw6Idezo1ie+rTNiiOXpVEpl08WI9/nZEQ==" saltValue="MrjbUrWkVUNMJNDiiQY23g==" spinCount="100000" sheet="1" selectLockedCells="1"/>
  <phoneticPr fontId="35" type="noConversion"/>
  <pageMargins left="0.7" right="0.7" top="0.75" bottom="0.75" header="0.3" footer="0.3"/>
  <pageSetup scale="55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39997558519241921"/>
  </sheetPr>
  <dimension ref="A1:BM296"/>
  <sheetViews>
    <sheetView tabSelected="1" showRuler="0" zoomScale="59" zoomScaleNormal="59" zoomScaleSheetLayoutView="105" zoomScalePageLayoutView="84" workbookViewId="0">
      <selection activeCell="E30" sqref="E30:M30"/>
    </sheetView>
  </sheetViews>
  <sheetFormatPr defaultColWidth="9.28515625" defaultRowHeight="21"/>
  <cols>
    <col min="1" max="1" width="62.7109375" style="107" customWidth="1"/>
    <col min="2" max="2" width="30" style="107" customWidth="1"/>
    <col min="3" max="3" width="22.42578125" style="107" customWidth="1"/>
    <col min="4" max="4" width="28.7109375" style="107" customWidth="1"/>
    <col min="5" max="5" width="20.28515625" style="107" bestFit="1" customWidth="1"/>
    <col min="6" max="6" width="13" style="107" bestFit="1" customWidth="1"/>
    <col min="7" max="8" width="9.28515625" style="107" customWidth="1"/>
    <col min="9" max="10" width="9.28515625" style="107"/>
    <col min="11" max="11" width="9.28515625" style="107" customWidth="1"/>
    <col min="12" max="12" width="38.42578125" style="107" customWidth="1"/>
    <col min="13" max="13" width="82" style="107" customWidth="1"/>
    <col min="14" max="65" width="9.28515625" style="125"/>
    <col min="66" max="16384" width="9.28515625" style="107"/>
  </cols>
  <sheetData>
    <row r="1" spans="1:65" s="98" customFormat="1" ht="30">
      <c r="A1" s="996" t="s">
        <v>159</v>
      </c>
      <c r="B1" s="996"/>
      <c r="C1" s="996"/>
      <c r="D1" s="996"/>
      <c r="E1" s="996"/>
      <c r="F1" s="996"/>
      <c r="G1" s="996"/>
      <c r="H1" s="996"/>
      <c r="I1" s="996"/>
      <c r="J1" s="996"/>
      <c r="K1" s="996"/>
      <c r="L1" s="996"/>
      <c r="M1" s="996"/>
    </row>
    <row r="2" spans="1:65" s="98" customFormat="1" ht="30">
      <c r="A2" s="996" t="s">
        <v>453</v>
      </c>
      <c r="B2" s="996"/>
      <c r="C2" s="996"/>
      <c r="D2" s="996"/>
      <c r="E2" s="996"/>
      <c r="F2" s="996"/>
      <c r="G2" s="996"/>
      <c r="H2" s="996"/>
      <c r="I2" s="996"/>
      <c r="J2" s="996"/>
      <c r="K2" s="996"/>
      <c r="L2" s="996"/>
      <c r="M2" s="996"/>
    </row>
    <row r="3" spans="1:65" s="8" customFormat="1" ht="31.5" customHeight="1">
      <c r="A3" s="388" t="s">
        <v>705</v>
      </c>
      <c r="B3" s="997" t="s">
        <v>704</v>
      </c>
      <c r="C3" s="998"/>
      <c r="D3" s="998"/>
      <c r="E3" s="998"/>
      <c r="F3" s="998"/>
      <c r="G3" s="998"/>
      <c r="H3" s="998"/>
      <c r="I3" s="998"/>
      <c r="J3" s="998"/>
      <c r="K3" s="998"/>
      <c r="L3" s="998"/>
      <c r="M3" s="999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</row>
    <row r="4" spans="1:65" s="105" customFormat="1">
      <c r="A4" s="375" t="s">
        <v>81</v>
      </c>
      <c r="B4" s="376" t="s">
        <v>454</v>
      </c>
      <c r="C4" s="376"/>
      <c r="D4" s="1003" t="s">
        <v>455</v>
      </c>
      <c r="E4" s="1004"/>
      <c r="F4" s="1004"/>
      <c r="G4" s="1004"/>
      <c r="H4" s="1004"/>
      <c r="I4" s="1004"/>
      <c r="J4" s="1004"/>
      <c r="K4" s="1004"/>
      <c r="L4" s="1004"/>
      <c r="M4" s="1005"/>
      <c r="N4" s="124"/>
      <c r="O4" s="124"/>
      <c r="P4" s="124"/>
      <c r="Q4" s="124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4"/>
      <c r="BB4" s="124"/>
      <c r="BC4" s="124"/>
      <c r="BD4" s="124"/>
      <c r="BE4" s="124"/>
      <c r="BF4" s="124"/>
      <c r="BG4" s="124"/>
      <c r="BH4" s="124"/>
      <c r="BI4" s="124"/>
      <c r="BJ4" s="124"/>
      <c r="BK4" s="124"/>
      <c r="BL4" s="124"/>
      <c r="BM4" s="124"/>
    </row>
    <row r="5" spans="1:65" s="105" customFormat="1" ht="25.5" customHeight="1">
      <c r="A5" s="375" t="s">
        <v>128</v>
      </c>
      <c r="B5" s="376">
        <v>29</v>
      </c>
      <c r="C5" s="377"/>
      <c r="D5" s="1006" t="s">
        <v>456</v>
      </c>
      <c r="E5" s="1001"/>
      <c r="F5" s="1001"/>
      <c r="G5" s="1001"/>
      <c r="H5" s="1001"/>
      <c r="I5" s="1001"/>
      <c r="J5" s="1001"/>
      <c r="K5" s="1001"/>
      <c r="L5" s="1001"/>
      <c r="M5" s="1002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4"/>
      <c r="BB5" s="124"/>
      <c r="BC5" s="124"/>
      <c r="BD5" s="124"/>
      <c r="BE5" s="124"/>
      <c r="BF5" s="124"/>
      <c r="BG5" s="124"/>
      <c r="BH5" s="124"/>
      <c r="BI5" s="124"/>
      <c r="BJ5" s="124"/>
      <c r="BK5" s="124"/>
      <c r="BL5" s="124"/>
      <c r="BM5" s="124"/>
    </row>
    <row r="6" spans="1:65" s="105" customFormat="1">
      <c r="A6" s="375" t="s">
        <v>129</v>
      </c>
      <c r="B6" s="376">
        <v>7</v>
      </c>
      <c r="C6" s="377"/>
      <c r="D6" s="1007" t="s">
        <v>457</v>
      </c>
      <c r="E6" s="1008"/>
      <c r="F6" s="1008"/>
      <c r="G6" s="1008"/>
      <c r="H6" s="1008"/>
      <c r="I6" s="1008"/>
      <c r="J6" s="1008"/>
      <c r="K6" s="1008"/>
      <c r="L6" s="1008"/>
      <c r="M6" s="1009"/>
      <c r="N6" s="124"/>
      <c r="O6" s="124"/>
      <c r="P6" s="124"/>
      <c r="Q6" s="124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4"/>
      <c r="BB6" s="124"/>
      <c r="BC6" s="124"/>
      <c r="BD6" s="124"/>
      <c r="BE6" s="124"/>
      <c r="BF6" s="124"/>
      <c r="BG6" s="124"/>
      <c r="BH6" s="124"/>
      <c r="BI6" s="124"/>
      <c r="BJ6" s="124"/>
      <c r="BK6" s="124"/>
      <c r="BL6" s="124"/>
      <c r="BM6" s="124"/>
    </row>
    <row r="7" spans="1:65" s="105" customFormat="1" ht="25.5" customHeight="1">
      <c r="A7" s="375" t="s">
        <v>130</v>
      </c>
      <c r="B7" s="376">
        <v>50</v>
      </c>
      <c r="C7" s="376"/>
      <c r="D7" s="1000" t="s">
        <v>458</v>
      </c>
      <c r="E7" s="1001"/>
      <c r="F7" s="1001"/>
      <c r="G7" s="1001"/>
      <c r="H7" s="1001"/>
      <c r="I7" s="1001"/>
      <c r="J7" s="1001"/>
      <c r="K7" s="1001"/>
      <c r="L7" s="1001"/>
      <c r="M7" s="1002"/>
      <c r="N7" s="124"/>
      <c r="O7" s="124"/>
      <c r="P7" s="124"/>
      <c r="Q7" s="124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4"/>
      <c r="BB7" s="124"/>
      <c r="BC7" s="124"/>
      <c r="BD7" s="124"/>
      <c r="BE7" s="124"/>
      <c r="BF7" s="124"/>
      <c r="BG7" s="124"/>
      <c r="BH7" s="124"/>
      <c r="BI7" s="124"/>
      <c r="BJ7" s="124"/>
      <c r="BK7" s="124"/>
      <c r="BL7" s="124"/>
      <c r="BM7" s="124"/>
    </row>
    <row r="8" spans="1:65" s="105" customFormat="1">
      <c r="A8" s="375" t="s">
        <v>131</v>
      </c>
      <c r="B8" s="376">
        <v>5</v>
      </c>
      <c r="C8" s="376"/>
      <c r="D8" s="1007" t="s">
        <v>134</v>
      </c>
      <c r="E8" s="1008"/>
      <c r="F8" s="1008"/>
      <c r="G8" s="1008"/>
      <c r="H8" s="1008"/>
      <c r="I8" s="1008"/>
      <c r="J8" s="1008"/>
      <c r="K8" s="1008"/>
      <c r="L8" s="1008"/>
      <c r="M8" s="1009"/>
      <c r="N8" s="124"/>
      <c r="O8" s="124"/>
      <c r="P8" s="124"/>
      <c r="Q8" s="124"/>
      <c r="R8" s="124"/>
      <c r="S8" s="124"/>
      <c r="T8" s="124"/>
      <c r="U8" s="124"/>
      <c r="V8" s="124"/>
      <c r="W8" s="124"/>
      <c r="X8" s="124"/>
      <c r="Y8" s="124"/>
      <c r="Z8" s="124"/>
      <c r="AA8" s="124"/>
      <c r="AB8" s="124"/>
      <c r="AC8" s="124"/>
      <c r="AD8" s="124"/>
      <c r="AE8" s="124"/>
      <c r="AF8" s="124"/>
      <c r="AG8" s="124"/>
      <c r="AH8" s="124"/>
      <c r="AI8" s="124"/>
      <c r="AJ8" s="124"/>
      <c r="AK8" s="124"/>
      <c r="AL8" s="124"/>
      <c r="AM8" s="124"/>
      <c r="AN8" s="124"/>
      <c r="AO8" s="124"/>
      <c r="AP8" s="124"/>
      <c r="AQ8" s="124"/>
      <c r="AR8" s="124"/>
      <c r="AS8" s="124"/>
      <c r="AT8" s="124"/>
      <c r="AU8" s="124"/>
      <c r="AV8" s="124"/>
      <c r="AW8" s="124"/>
      <c r="AX8" s="124"/>
      <c r="AY8" s="124"/>
      <c r="AZ8" s="124"/>
      <c r="BA8" s="124"/>
      <c r="BB8" s="124"/>
      <c r="BC8" s="124"/>
      <c r="BD8" s="124"/>
      <c r="BE8" s="124"/>
      <c r="BF8" s="124"/>
      <c r="BG8" s="124"/>
      <c r="BH8" s="124"/>
      <c r="BI8" s="124"/>
      <c r="BJ8" s="124"/>
      <c r="BK8" s="124"/>
      <c r="BL8" s="124"/>
      <c r="BM8" s="124"/>
    </row>
    <row r="9" spans="1:65" s="105" customFormat="1" ht="25.5" customHeight="1">
      <c r="A9" s="375" t="s">
        <v>16</v>
      </c>
      <c r="B9" s="376">
        <v>22</v>
      </c>
      <c r="C9" s="376"/>
      <c r="D9" s="1000" t="s">
        <v>134</v>
      </c>
      <c r="E9" s="1001"/>
      <c r="F9" s="1001"/>
      <c r="G9" s="1001"/>
      <c r="H9" s="1001"/>
      <c r="I9" s="1001"/>
      <c r="J9" s="1001"/>
      <c r="K9" s="1001"/>
      <c r="L9" s="1001"/>
      <c r="M9" s="1002"/>
      <c r="N9" s="124"/>
      <c r="O9" s="124"/>
      <c r="P9" s="124"/>
      <c r="Q9" s="124"/>
      <c r="R9" s="124"/>
      <c r="S9" s="124"/>
      <c r="T9" s="124"/>
      <c r="U9" s="124"/>
      <c r="V9" s="124"/>
      <c r="W9" s="124"/>
      <c r="X9" s="124"/>
      <c r="Y9" s="124"/>
      <c r="Z9" s="124"/>
      <c r="AA9" s="124"/>
      <c r="AB9" s="124"/>
      <c r="AC9" s="124"/>
      <c r="AD9" s="124"/>
      <c r="AE9" s="124"/>
      <c r="AF9" s="124"/>
      <c r="AG9" s="124"/>
      <c r="AH9" s="124"/>
      <c r="AI9" s="124"/>
      <c r="AJ9" s="124"/>
      <c r="AK9" s="124"/>
      <c r="AL9" s="124"/>
      <c r="AM9" s="124"/>
      <c r="AN9" s="124"/>
      <c r="AO9" s="124"/>
      <c r="AP9" s="124"/>
      <c r="AQ9" s="124"/>
      <c r="AR9" s="124"/>
      <c r="AS9" s="124"/>
      <c r="AT9" s="124"/>
      <c r="AU9" s="124"/>
      <c r="AV9" s="124"/>
      <c r="AW9" s="124"/>
      <c r="AX9" s="124"/>
      <c r="AY9" s="124"/>
      <c r="AZ9" s="124"/>
      <c r="BA9" s="124"/>
      <c r="BB9" s="124"/>
      <c r="BC9" s="124"/>
      <c r="BD9" s="124"/>
      <c r="BE9" s="124"/>
      <c r="BF9" s="124"/>
      <c r="BG9" s="124"/>
      <c r="BH9" s="124"/>
      <c r="BI9" s="124"/>
      <c r="BJ9" s="124"/>
      <c r="BK9" s="124"/>
      <c r="BL9" s="124"/>
      <c r="BM9" s="124"/>
    </row>
    <row r="10" spans="1:65" s="105" customFormat="1" ht="25.5" customHeight="1">
      <c r="A10" s="375" t="s">
        <v>18</v>
      </c>
      <c r="B10" s="376">
        <v>13</v>
      </c>
      <c r="C10" s="376"/>
      <c r="D10" s="1000" t="s">
        <v>459</v>
      </c>
      <c r="E10" s="1001"/>
      <c r="F10" s="1001"/>
      <c r="G10" s="1001"/>
      <c r="H10" s="1001"/>
      <c r="I10" s="1001"/>
      <c r="J10" s="1001"/>
      <c r="K10" s="1001"/>
      <c r="L10" s="1001"/>
      <c r="M10" s="1002"/>
      <c r="N10" s="124"/>
      <c r="O10" s="124"/>
      <c r="P10" s="124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4"/>
      <c r="AQ10" s="124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4"/>
      <c r="BH10" s="124"/>
      <c r="BI10" s="124"/>
      <c r="BJ10" s="124"/>
      <c r="BK10" s="124"/>
      <c r="BL10" s="124"/>
      <c r="BM10" s="124"/>
    </row>
    <row r="11" spans="1:65" s="105" customFormat="1" ht="24" customHeight="1">
      <c r="A11" s="378" t="s">
        <v>460</v>
      </c>
      <c r="B11" s="379">
        <v>119</v>
      </c>
      <c r="C11" s="376"/>
      <c r="D11" s="1000" t="s">
        <v>461</v>
      </c>
      <c r="E11" s="1001"/>
      <c r="F11" s="1001"/>
      <c r="G11" s="1001"/>
      <c r="H11" s="1001"/>
      <c r="I11" s="1001"/>
      <c r="J11" s="1001"/>
      <c r="K11" s="1001"/>
      <c r="L11" s="1001"/>
      <c r="M11" s="1002"/>
      <c r="N11" s="124"/>
      <c r="O11" s="124"/>
      <c r="P11" s="124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4"/>
      <c r="AQ11" s="124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  <c r="BE11" s="124"/>
      <c r="BF11" s="124"/>
      <c r="BG11" s="124"/>
      <c r="BH11" s="124"/>
      <c r="BI11" s="124"/>
      <c r="BJ11" s="124"/>
      <c r="BK11" s="124"/>
      <c r="BL11" s="124"/>
      <c r="BM11" s="124"/>
    </row>
    <row r="12" spans="1:65" s="105" customFormat="1" ht="24" customHeight="1">
      <c r="A12" s="378" t="s">
        <v>462</v>
      </c>
      <c r="B12" s="379">
        <v>435</v>
      </c>
      <c r="C12" s="376"/>
      <c r="D12" s="1000"/>
      <c r="E12" s="1001"/>
      <c r="F12" s="464"/>
      <c r="G12" s="464"/>
      <c r="H12" s="464"/>
      <c r="I12" s="464"/>
      <c r="J12" s="464"/>
      <c r="K12" s="464"/>
      <c r="L12" s="464"/>
      <c r="M12" s="465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4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4"/>
      <c r="BD12" s="124"/>
      <c r="BE12" s="124"/>
      <c r="BF12" s="124"/>
      <c r="BG12" s="124"/>
      <c r="BH12" s="124"/>
      <c r="BI12" s="124"/>
      <c r="BJ12" s="124"/>
      <c r="BK12" s="124"/>
      <c r="BL12" s="124"/>
      <c r="BM12" s="124"/>
    </row>
    <row r="13" spans="1:65" s="105" customFormat="1">
      <c r="A13" s="375" t="s">
        <v>30</v>
      </c>
      <c r="B13" s="380">
        <v>131</v>
      </c>
      <c r="C13" s="376"/>
      <c r="D13" s="1000" t="s">
        <v>710</v>
      </c>
      <c r="E13" s="1001"/>
      <c r="F13" s="1001"/>
      <c r="G13" s="1001"/>
      <c r="H13" s="1001"/>
      <c r="I13" s="1001"/>
      <c r="J13" s="1001"/>
      <c r="K13" s="1001"/>
      <c r="L13" s="1001"/>
      <c r="M13" s="1002"/>
      <c r="N13" s="124"/>
      <c r="O13" s="124"/>
      <c r="P13" s="124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4"/>
      <c r="AQ13" s="124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4"/>
      <c r="BD13" s="124"/>
      <c r="BE13" s="124"/>
      <c r="BF13" s="124"/>
      <c r="BG13" s="124"/>
      <c r="BH13" s="124"/>
      <c r="BI13" s="124"/>
      <c r="BJ13" s="124"/>
      <c r="BK13" s="124"/>
      <c r="BL13" s="124"/>
      <c r="BM13" s="124"/>
    </row>
    <row r="14" spans="1:65" s="105" customFormat="1" ht="25.5" customHeight="1">
      <c r="A14" s="375" t="s">
        <v>32</v>
      </c>
      <c r="B14" s="380">
        <v>10</v>
      </c>
      <c r="C14" s="380"/>
      <c r="D14" s="1000" t="s">
        <v>134</v>
      </c>
      <c r="E14" s="1001"/>
      <c r="F14" s="1001"/>
      <c r="G14" s="1001"/>
      <c r="H14" s="1001"/>
      <c r="I14" s="1001"/>
      <c r="J14" s="1001"/>
      <c r="K14" s="1001"/>
      <c r="L14" s="1001"/>
      <c r="M14" s="1002"/>
      <c r="N14" s="124"/>
      <c r="O14" s="124"/>
      <c r="P14" s="124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4"/>
      <c r="AQ14" s="124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4"/>
      <c r="BF14" s="124"/>
      <c r="BG14" s="124"/>
      <c r="BH14" s="124"/>
      <c r="BI14" s="124"/>
      <c r="BJ14" s="124"/>
      <c r="BK14" s="124"/>
      <c r="BL14" s="124"/>
      <c r="BM14" s="124"/>
    </row>
    <row r="15" spans="1:65" s="105" customFormat="1">
      <c r="A15" s="375" t="s">
        <v>135</v>
      </c>
      <c r="B15" s="380">
        <v>1</v>
      </c>
      <c r="C15" s="380"/>
      <c r="D15" s="1000" t="s">
        <v>463</v>
      </c>
      <c r="E15" s="1001"/>
      <c r="F15" s="1001"/>
      <c r="G15" s="1001"/>
      <c r="H15" s="1001"/>
      <c r="I15" s="1001"/>
      <c r="J15" s="1001"/>
      <c r="K15" s="1001"/>
      <c r="L15" s="1001"/>
      <c r="M15" s="1002"/>
      <c r="N15" s="124"/>
      <c r="O15" s="124"/>
      <c r="P15" s="124"/>
      <c r="Q15" s="124"/>
      <c r="R15" s="124"/>
      <c r="S15" s="124"/>
      <c r="T15" s="124"/>
      <c r="U15" s="124"/>
      <c r="V15" s="124"/>
      <c r="W15" s="124"/>
      <c r="X15" s="124"/>
      <c r="Y15" s="124"/>
      <c r="Z15" s="124"/>
      <c r="AA15" s="124"/>
      <c r="AB15" s="124"/>
      <c r="AC15" s="124"/>
      <c r="AD15" s="124"/>
      <c r="AE15" s="124"/>
      <c r="AF15" s="124"/>
      <c r="AG15" s="124"/>
      <c r="AH15" s="124"/>
      <c r="AI15" s="124"/>
      <c r="AJ15" s="124"/>
      <c r="AK15" s="124"/>
      <c r="AL15" s="124"/>
      <c r="AM15" s="124"/>
      <c r="AN15" s="124"/>
      <c r="AO15" s="124"/>
      <c r="AP15" s="124"/>
      <c r="AQ15" s="124"/>
      <c r="AR15" s="124"/>
      <c r="AS15" s="124"/>
      <c r="AT15" s="124"/>
      <c r="AU15" s="124"/>
      <c r="AV15" s="124"/>
      <c r="AW15" s="124"/>
      <c r="AX15" s="124"/>
      <c r="AY15" s="124"/>
      <c r="AZ15" s="124"/>
      <c r="BA15" s="124"/>
      <c r="BB15" s="124"/>
      <c r="BC15" s="124"/>
      <c r="BD15" s="124"/>
      <c r="BE15" s="124"/>
      <c r="BF15" s="124"/>
      <c r="BG15" s="124"/>
      <c r="BH15" s="124"/>
      <c r="BI15" s="124"/>
      <c r="BJ15" s="124"/>
      <c r="BK15" s="124"/>
      <c r="BL15" s="124"/>
      <c r="BM15" s="124"/>
    </row>
    <row r="16" spans="1:65" s="105" customFormat="1">
      <c r="A16" s="375" t="s">
        <v>136</v>
      </c>
      <c r="B16" s="380">
        <v>2</v>
      </c>
      <c r="C16" s="380"/>
      <c r="D16" s="1000" t="s">
        <v>464</v>
      </c>
      <c r="E16" s="1001"/>
      <c r="F16" s="1001"/>
      <c r="G16" s="1001"/>
      <c r="H16" s="1001"/>
      <c r="I16" s="1001"/>
      <c r="J16" s="1001"/>
      <c r="K16" s="1001"/>
      <c r="L16" s="1001"/>
      <c r="M16" s="1002"/>
      <c r="N16" s="124"/>
      <c r="O16" s="124"/>
      <c r="P16" s="124"/>
      <c r="Q16" s="124"/>
      <c r="R16" s="124"/>
      <c r="S16" s="124"/>
      <c r="T16" s="124"/>
      <c r="U16" s="124"/>
      <c r="V16" s="124"/>
      <c r="W16" s="124"/>
      <c r="X16" s="124"/>
      <c r="Y16" s="124"/>
      <c r="Z16" s="124"/>
      <c r="AA16" s="124"/>
      <c r="AB16" s="124"/>
      <c r="AC16" s="124"/>
      <c r="AD16" s="124"/>
      <c r="AE16" s="124"/>
      <c r="AF16" s="124"/>
      <c r="AG16" s="124"/>
      <c r="AH16" s="124"/>
      <c r="AI16" s="124"/>
      <c r="AJ16" s="124"/>
      <c r="AK16" s="124"/>
      <c r="AL16" s="124"/>
      <c r="AM16" s="124"/>
      <c r="AN16" s="124"/>
      <c r="AO16" s="124"/>
      <c r="AP16" s="124"/>
      <c r="AQ16" s="124"/>
      <c r="AR16" s="124"/>
      <c r="AS16" s="124"/>
      <c r="AT16" s="124"/>
      <c r="AU16" s="124"/>
      <c r="AV16" s="124"/>
      <c r="AW16" s="124"/>
      <c r="AX16" s="124"/>
      <c r="AY16" s="124"/>
      <c r="AZ16" s="124"/>
      <c r="BA16" s="124"/>
      <c r="BB16" s="124"/>
      <c r="BC16" s="124"/>
      <c r="BD16" s="124"/>
      <c r="BE16" s="124"/>
      <c r="BF16" s="124"/>
      <c r="BG16" s="124"/>
      <c r="BH16" s="124"/>
      <c r="BI16" s="124"/>
      <c r="BJ16" s="124"/>
      <c r="BK16" s="124"/>
      <c r="BL16" s="124"/>
      <c r="BM16" s="124"/>
    </row>
    <row r="17" spans="1:65" s="105" customFormat="1" ht="26.65" customHeight="1">
      <c r="A17" s="375" t="s">
        <v>137</v>
      </c>
      <c r="B17" s="380">
        <v>3</v>
      </c>
      <c r="C17" s="380"/>
      <c r="D17" s="1000" t="s">
        <v>465</v>
      </c>
      <c r="E17" s="1001"/>
      <c r="F17" s="1001"/>
      <c r="G17" s="1001"/>
      <c r="H17" s="1001"/>
      <c r="I17" s="1001"/>
      <c r="J17" s="1001"/>
      <c r="K17" s="1001"/>
      <c r="L17" s="1001"/>
      <c r="M17" s="1002"/>
      <c r="N17" s="124"/>
      <c r="O17" s="124"/>
      <c r="P17" s="124"/>
      <c r="Q17" s="124"/>
      <c r="R17" s="124"/>
      <c r="S17" s="124"/>
      <c r="T17" s="124"/>
      <c r="U17" s="124"/>
      <c r="V17" s="124"/>
      <c r="W17" s="124"/>
      <c r="X17" s="124"/>
      <c r="Y17" s="124"/>
      <c r="Z17" s="124"/>
      <c r="AA17" s="124"/>
      <c r="AB17" s="124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4"/>
      <c r="BE17" s="124"/>
      <c r="BF17" s="124"/>
      <c r="BG17" s="124"/>
      <c r="BH17" s="124"/>
      <c r="BI17" s="124"/>
      <c r="BJ17" s="124"/>
      <c r="BK17" s="124"/>
      <c r="BL17" s="124"/>
      <c r="BM17" s="124"/>
    </row>
    <row r="18" spans="1:65" s="105" customFormat="1">
      <c r="A18" s="375" t="s">
        <v>466</v>
      </c>
      <c r="B18" s="380">
        <v>1</v>
      </c>
      <c r="C18" s="380"/>
      <c r="D18" s="1000" t="s">
        <v>134</v>
      </c>
      <c r="E18" s="1001"/>
      <c r="F18" s="1001"/>
      <c r="G18" s="1001"/>
      <c r="H18" s="1001"/>
      <c r="I18" s="1001"/>
      <c r="J18" s="1001"/>
      <c r="K18" s="1001"/>
      <c r="L18" s="1001"/>
      <c r="M18" s="1002"/>
      <c r="N18" s="124"/>
      <c r="O18" s="124"/>
      <c r="P18" s="124"/>
      <c r="Q18" s="124"/>
      <c r="R18" s="124"/>
      <c r="S18" s="124"/>
      <c r="T18" s="124"/>
      <c r="U18" s="124"/>
      <c r="V18" s="124"/>
      <c r="W18" s="124"/>
      <c r="X18" s="124"/>
      <c r="Y18" s="124"/>
      <c r="Z18" s="124"/>
      <c r="AA18" s="124"/>
      <c r="AB18" s="124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24"/>
      <c r="BG18" s="124"/>
      <c r="BH18" s="124"/>
      <c r="BI18" s="124"/>
      <c r="BJ18" s="124"/>
      <c r="BK18" s="124"/>
      <c r="BL18" s="124"/>
      <c r="BM18" s="124"/>
    </row>
    <row r="19" spans="1:65" s="105" customFormat="1" ht="25.5" customHeight="1">
      <c r="A19" s="375" t="s">
        <v>467</v>
      </c>
      <c r="B19" s="380">
        <v>4</v>
      </c>
      <c r="C19" s="380"/>
      <c r="D19" s="1000" t="s">
        <v>468</v>
      </c>
      <c r="E19" s="1001"/>
      <c r="F19" s="1001"/>
      <c r="G19" s="1001"/>
      <c r="H19" s="1001"/>
      <c r="I19" s="1001"/>
      <c r="J19" s="1001"/>
      <c r="K19" s="1001"/>
      <c r="L19" s="1001"/>
      <c r="M19" s="1002"/>
      <c r="N19" s="124"/>
      <c r="O19" s="124"/>
      <c r="P19" s="124"/>
      <c r="Q19" s="124"/>
      <c r="R19" s="124"/>
      <c r="S19" s="124"/>
      <c r="T19" s="124"/>
      <c r="U19" s="124"/>
      <c r="V19" s="124"/>
      <c r="W19" s="124"/>
      <c r="X19" s="124"/>
      <c r="Y19" s="124"/>
      <c r="Z19" s="124"/>
      <c r="AA19" s="124"/>
      <c r="AB19" s="124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4"/>
      <c r="BE19" s="124"/>
      <c r="BF19" s="124"/>
      <c r="BG19" s="124"/>
      <c r="BH19" s="124"/>
      <c r="BI19" s="124"/>
      <c r="BJ19" s="124"/>
      <c r="BK19" s="124"/>
      <c r="BL19" s="124"/>
      <c r="BM19" s="124"/>
    </row>
    <row r="20" spans="1:65" s="105" customFormat="1">
      <c r="A20" s="375"/>
      <c r="B20" s="380"/>
      <c r="C20" s="380"/>
      <c r="D20" s="1000"/>
      <c r="E20" s="1001"/>
      <c r="F20" s="1001"/>
      <c r="G20" s="1001"/>
      <c r="H20" s="1001"/>
      <c r="I20" s="1001"/>
      <c r="J20" s="1001"/>
      <c r="K20" s="1001"/>
      <c r="L20" s="1001"/>
      <c r="M20" s="1002"/>
      <c r="N20" s="124"/>
      <c r="O20" s="124"/>
      <c r="P20" s="124"/>
      <c r="Q20" s="124"/>
      <c r="R20" s="124"/>
      <c r="S20" s="124"/>
      <c r="T20" s="124"/>
      <c r="U20" s="124"/>
      <c r="V20" s="124"/>
      <c r="W20" s="124"/>
      <c r="X20" s="124"/>
      <c r="Y20" s="124"/>
      <c r="Z20" s="124"/>
      <c r="AA20" s="124"/>
      <c r="AB20" s="124"/>
      <c r="AC20" s="124"/>
      <c r="AD20" s="124"/>
      <c r="AE20" s="124"/>
      <c r="AF20" s="124"/>
      <c r="AG20" s="124"/>
      <c r="AH20" s="124"/>
      <c r="AI20" s="124"/>
      <c r="AJ20" s="124"/>
      <c r="AK20" s="124"/>
      <c r="AL20" s="124"/>
      <c r="AM20" s="124"/>
      <c r="AN20" s="124"/>
      <c r="AO20" s="124"/>
      <c r="AP20" s="124"/>
      <c r="AQ20" s="124"/>
      <c r="AR20" s="124"/>
      <c r="AS20" s="124"/>
      <c r="AT20" s="124"/>
      <c r="AU20" s="124"/>
      <c r="AV20" s="124"/>
      <c r="AW20" s="124"/>
      <c r="AX20" s="124"/>
      <c r="AY20" s="124"/>
      <c r="AZ20" s="124"/>
      <c r="BA20" s="124"/>
      <c r="BB20" s="124"/>
      <c r="BC20" s="124"/>
      <c r="BD20" s="124"/>
      <c r="BE20" s="124"/>
      <c r="BF20" s="124"/>
      <c r="BG20" s="124"/>
      <c r="BH20" s="124"/>
      <c r="BI20" s="124"/>
      <c r="BJ20" s="124"/>
      <c r="BK20" s="124"/>
      <c r="BL20" s="124"/>
      <c r="BM20" s="124"/>
    </row>
    <row r="21" spans="1:65" s="105" customFormat="1" ht="25.5" customHeight="1">
      <c r="A21" s="375" t="s">
        <v>139</v>
      </c>
      <c r="B21" s="380">
        <v>7</v>
      </c>
      <c r="C21" s="380"/>
      <c r="D21" s="1000" t="s">
        <v>469</v>
      </c>
      <c r="E21" s="1001"/>
      <c r="F21" s="1001"/>
      <c r="G21" s="1001"/>
      <c r="H21" s="1001"/>
      <c r="I21" s="1001"/>
      <c r="J21" s="1001"/>
      <c r="K21" s="1001"/>
      <c r="L21" s="1001"/>
      <c r="M21" s="1002"/>
      <c r="N21" s="124"/>
      <c r="O21" s="124"/>
      <c r="P21" s="124"/>
      <c r="Q21" s="124"/>
      <c r="R21" s="124"/>
      <c r="S21" s="124"/>
      <c r="T21" s="124"/>
      <c r="U21" s="124"/>
      <c r="V21" s="124"/>
      <c r="W21" s="124"/>
      <c r="X21" s="124"/>
      <c r="Y21" s="124"/>
      <c r="Z21" s="124"/>
      <c r="AA21" s="124"/>
      <c r="AB21" s="124"/>
      <c r="AC21" s="124"/>
      <c r="AD21" s="124"/>
      <c r="AE21" s="124"/>
      <c r="AF21" s="124"/>
      <c r="AG21" s="124"/>
      <c r="AH21" s="124"/>
      <c r="AI21" s="124"/>
      <c r="AJ21" s="124"/>
      <c r="AK21" s="124"/>
      <c r="AL21" s="124"/>
      <c r="AM21" s="124"/>
      <c r="AN21" s="124"/>
      <c r="AO21" s="124"/>
      <c r="AP21" s="124"/>
      <c r="AQ21" s="124"/>
      <c r="AR21" s="124"/>
      <c r="AS21" s="124"/>
      <c r="AT21" s="124"/>
      <c r="AU21" s="124"/>
      <c r="AV21" s="124"/>
      <c r="AW21" s="124"/>
      <c r="AX21" s="124"/>
      <c r="AY21" s="124"/>
      <c r="AZ21" s="124"/>
      <c r="BA21" s="124"/>
      <c r="BB21" s="124"/>
      <c r="BC21" s="124"/>
      <c r="BD21" s="124"/>
      <c r="BE21" s="124"/>
      <c r="BF21" s="124"/>
      <c r="BG21" s="124"/>
      <c r="BH21" s="124"/>
      <c r="BI21" s="124"/>
      <c r="BJ21" s="124"/>
      <c r="BK21" s="124"/>
      <c r="BL21" s="124"/>
      <c r="BM21" s="124"/>
    </row>
    <row r="22" spans="1:65" s="105" customFormat="1" ht="46.5" customHeight="1">
      <c r="A22" s="381" t="s">
        <v>470</v>
      </c>
      <c r="B22" s="386">
        <v>2</v>
      </c>
      <c r="C22" s="1011" t="s">
        <v>703</v>
      </c>
      <c r="D22" s="1012"/>
      <c r="E22" s="1012"/>
      <c r="F22" s="1012"/>
      <c r="G22" s="1012"/>
      <c r="H22" s="1012"/>
      <c r="I22" s="1013"/>
      <c r="J22" s="1011" t="s">
        <v>717</v>
      </c>
      <c r="K22" s="1012"/>
      <c r="L22" s="1012"/>
      <c r="M22" s="1013"/>
      <c r="N22" s="124"/>
      <c r="O22" s="124"/>
      <c r="P22" s="124"/>
      <c r="Q22" s="124"/>
      <c r="R22" s="124"/>
      <c r="S22" s="124"/>
      <c r="T22" s="124"/>
      <c r="U22" s="124"/>
      <c r="V22" s="124"/>
      <c r="W22" s="124"/>
      <c r="X22" s="124"/>
      <c r="Y22" s="124"/>
      <c r="Z22" s="124"/>
      <c r="AA22" s="124"/>
      <c r="AB22" s="124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124"/>
      <c r="BB22" s="124"/>
      <c r="BC22" s="124"/>
      <c r="BD22" s="124"/>
      <c r="BE22" s="124"/>
      <c r="BF22" s="124"/>
      <c r="BG22" s="124"/>
      <c r="BH22" s="124"/>
      <c r="BI22" s="124"/>
      <c r="BJ22" s="124"/>
      <c r="BK22" s="124"/>
      <c r="BL22" s="124"/>
      <c r="BM22" s="124"/>
    </row>
    <row r="23" spans="1:65" s="106" customFormat="1" ht="56.25" customHeight="1">
      <c r="A23" s="983" t="s">
        <v>471</v>
      </c>
      <c r="B23" s="382" t="s">
        <v>472</v>
      </c>
      <c r="C23" s="1014" t="s">
        <v>93</v>
      </c>
      <c r="D23" s="1015"/>
      <c r="E23" s="1015"/>
      <c r="F23" s="1015"/>
      <c r="G23" s="1015"/>
      <c r="H23" s="1015"/>
      <c r="I23" s="1015"/>
      <c r="J23" s="1015"/>
      <c r="K23" s="1015"/>
      <c r="L23" s="1015"/>
      <c r="M23" s="1015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127"/>
      <c r="AY23" s="127"/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7"/>
      <c r="BL23" s="127"/>
      <c r="BM23" s="127"/>
    </row>
    <row r="24" spans="1:65" s="106" customFormat="1" ht="56.25" customHeight="1">
      <c r="A24" s="984"/>
      <c r="B24" s="382" t="s">
        <v>473</v>
      </c>
      <c r="C24" s="1016" t="s">
        <v>718</v>
      </c>
      <c r="D24" s="1017"/>
      <c r="E24" s="1017"/>
      <c r="F24" s="1017"/>
      <c r="G24" s="1017"/>
      <c r="H24" s="1017"/>
      <c r="I24" s="1017"/>
      <c r="J24" s="1017"/>
      <c r="K24" s="1017"/>
      <c r="L24" s="1017"/>
      <c r="M24" s="1018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127"/>
      <c r="AY24" s="127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7"/>
      <c r="BL24" s="127"/>
      <c r="BM24" s="127"/>
    </row>
    <row r="25" spans="1:65" s="106" customFormat="1" ht="56.25" customHeight="1">
      <c r="A25" s="984"/>
      <c r="B25" s="519" t="s">
        <v>474</v>
      </c>
      <c r="C25" s="1019"/>
      <c r="D25" s="1019"/>
      <c r="E25" s="1019"/>
      <c r="F25" s="1019"/>
      <c r="G25" s="1019"/>
      <c r="H25" s="1019"/>
      <c r="I25" s="1019"/>
      <c r="J25" s="1019"/>
      <c r="K25" s="1019"/>
      <c r="L25" s="1019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127"/>
      <c r="AY25" s="127"/>
      <c r="AZ25" s="127"/>
      <c r="BA25" s="127"/>
      <c r="BB25" s="127"/>
      <c r="BC25" s="127"/>
      <c r="BD25" s="127"/>
      <c r="BE25" s="127"/>
      <c r="BF25" s="127"/>
      <c r="BG25" s="127"/>
      <c r="BH25" s="127"/>
      <c r="BI25" s="127"/>
      <c r="BJ25" s="127"/>
      <c r="BK25" s="127"/>
      <c r="BL25" s="127"/>
      <c r="BM25" s="127"/>
    </row>
    <row r="26" spans="1:65" s="106" customFormat="1" ht="51" customHeight="1">
      <c r="A26" s="985"/>
      <c r="B26" s="520" t="s">
        <v>475</v>
      </c>
      <c r="C26" s="1016" t="s">
        <v>327</v>
      </c>
      <c r="D26" s="1017"/>
      <c r="E26" s="1017"/>
      <c r="F26" s="1017"/>
      <c r="G26" s="1017"/>
      <c r="H26" s="1017"/>
      <c r="I26" s="1017"/>
      <c r="J26" s="1017"/>
      <c r="K26" s="1017"/>
      <c r="L26" s="1017"/>
      <c r="M26" s="1018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127"/>
      <c r="AY26" s="127"/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7"/>
      <c r="BL26" s="127"/>
      <c r="BM26" s="127"/>
    </row>
    <row r="27" spans="1:65" s="106" customFormat="1" ht="59.25" customHeight="1">
      <c r="A27" s="983" t="s">
        <v>157</v>
      </c>
      <c r="B27" s="383" t="s">
        <v>476</v>
      </c>
      <c r="C27" s="1010" t="s">
        <v>709</v>
      </c>
      <c r="D27" s="1010"/>
      <c r="E27" s="1010"/>
      <c r="F27" s="1010"/>
      <c r="G27" s="1010"/>
      <c r="H27" s="1010"/>
      <c r="I27" s="1010"/>
      <c r="J27" s="1010"/>
      <c r="K27" s="1010"/>
      <c r="L27" s="1010"/>
      <c r="M27" s="1010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127"/>
      <c r="AY27" s="127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7"/>
      <c r="BL27" s="127"/>
      <c r="BM27" s="127"/>
    </row>
    <row r="28" spans="1:65" s="106" customFormat="1" ht="55.5" customHeight="1">
      <c r="A28" s="984"/>
      <c r="B28" s="384" t="s">
        <v>477</v>
      </c>
      <c r="C28" s="970" t="s">
        <v>708</v>
      </c>
      <c r="D28" s="971"/>
      <c r="E28" s="971"/>
      <c r="F28" s="971"/>
      <c r="G28" s="971"/>
      <c r="H28" s="971"/>
      <c r="I28" s="971"/>
      <c r="J28" s="971"/>
      <c r="K28" s="971"/>
      <c r="L28" s="971"/>
      <c r="M28" s="972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  <c r="AW28" s="127"/>
      <c r="AX28" s="127"/>
      <c r="AY28" s="127"/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7"/>
      <c r="BL28" s="127"/>
      <c r="BM28" s="127"/>
    </row>
    <row r="29" spans="1:65" s="106" customFormat="1" ht="51.75" customHeight="1">
      <c r="A29" s="985"/>
      <c r="B29" s="384" t="s">
        <v>478</v>
      </c>
      <c r="C29" s="987" t="s">
        <v>711</v>
      </c>
      <c r="D29" s="987"/>
      <c r="E29" s="987"/>
      <c r="F29" s="987"/>
      <c r="G29" s="987"/>
      <c r="H29" s="987"/>
      <c r="I29" s="987"/>
      <c r="J29" s="987"/>
      <c r="K29" s="987"/>
      <c r="L29" s="987"/>
      <c r="M29" s="98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127"/>
      <c r="AY29" s="127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7"/>
      <c r="BL29" s="127"/>
      <c r="BM29" s="127"/>
    </row>
    <row r="30" spans="1:65" s="106" customFormat="1" ht="51.75" customHeight="1">
      <c r="A30" s="988" t="s">
        <v>479</v>
      </c>
      <c r="B30" s="991" t="s">
        <v>480</v>
      </c>
      <c r="C30" s="977" t="s">
        <v>481</v>
      </c>
      <c r="D30" s="977"/>
      <c r="E30" s="978" t="s">
        <v>141</v>
      </c>
      <c r="F30" s="979"/>
      <c r="G30" s="979"/>
      <c r="H30" s="979"/>
      <c r="I30" s="979"/>
      <c r="J30" s="979"/>
      <c r="K30" s="979"/>
      <c r="L30" s="979"/>
      <c r="M30" s="980"/>
      <c r="N30" s="127"/>
      <c r="O30" s="127"/>
      <c r="P30" s="127"/>
      <c r="Q30" s="127"/>
      <c r="R30" s="127"/>
      <c r="S30" s="127"/>
      <c r="T30" s="127"/>
      <c r="U30" s="127"/>
      <c r="V30" s="127"/>
      <c r="W30" s="127"/>
      <c r="X30" s="127"/>
      <c r="Y30" s="127"/>
      <c r="Z30" s="127"/>
      <c r="AA30" s="127"/>
      <c r="AB30" s="127"/>
      <c r="AC30" s="127"/>
      <c r="AD30" s="127"/>
      <c r="AE30" s="127"/>
      <c r="AF30" s="127"/>
      <c r="AG30" s="127"/>
      <c r="AH30" s="127"/>
      <c r="AI30" s="127"/>
      <c r="AJ30" s="127"/>
      <c r="AK30" s="127"/>
      <c r="AL30" s="127"/>
      <c r="AM30" s="127"/>
      <c r="AN30" s="127"/>
      <c r="AO30" s="127"/>
      <c r="AP30" s="127"/>
      <c r="AQ30" s="127"/>
      <c r="AR30" s="127"/>
      <c r="AS30" s="127"/>
      <c r="AT30" s="127"/>
      <c r="AU30" s="127"/>
      <c r="AV30" s="127"/>
      <c r="AW30" s="127"/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7"/>
      <c r="BL30" s="127"/>
      <c r="BM30" s="127"/>
    </row>
    <row r="31" spans="1:65" s="106" customFormat="1" ht="29.25">
      <c r="A31" s="989"/>
      <c r="B31" s="992"/>
      <c r="C31" s="422" t="s">
        <v>72</v>
      </c>
      <c r="D31" s="422" t="s">
        <v>73</v>
      </c>
      <c r="E31" s="422" t="s">
        <v>81</v>
      </c>
      <c r="F31" s="978" t="s">
        <v>482</v>
      </c>
      <c r="G31" s="979"/>
      <c r="H31" s="979"/>
      <c r="I31" s="979"/>
      <c r="J31" s="979"/>
      <c r="K31" s="979"/>
      <c r="L31" s="980"/>
      <c r="M31" s="420" t="s">
        <v>145</v>
      </c>
      <c r="N31" s="127"/>
      <c r="O31" s="127"/>
      <c r="P31" s="127"/>
      <c r="Q31" s="127"/>
      <c r="R31" s="127"/>
      <c r="S31" s="127"/>
      <c r="T31" s="127"/>
      <c r="U31" s="127"/>
      <c r="V31" s="127"/>
      <c r="W31" s="127"/>
      <c r="X31" s="127"/>
      <c r="Y31" s="127"/>
      <c r="Z31" s="127"/>
      <c r="AA31" s="127"/>
      <c r="AB31" s="127"/>
      <c r="AC31" s="127"/>
      <c r="AD31" s="127"/>
      <c r="AE31" s="127"/>
      <c r="AF31" s="127"/>
      <c r="AG31" s="127"/>
      <c r="AH31" s="127"/>
      <c r="AI31" s="127"/>
      <c r="AJ31" s="127"/>
      <c r="AK31" s="127"/>
      <c r="AL31" s="127"/>
      <c r="AM31" s="127"/>
      <c r="AN31" s="127"/>
      <c r="AO31" s="127"/>
      <c r="AP31" s="127"/>
      <c r="AQ31" s="127"/>
      <c r="AR31" s="127"/>
      <c r="AS31" s="127"/>
      <c r="AT31" s="127"/>
      <c r="AU31" s="127"/>
      <c r="AV31" s="127"/>
      <c r="AW31" s="127"/>
      <c r="AX31" s="127"/>
      <c r="AY31" s="127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7"/>
      <c r="BL31" s="127"/>
      <c r="BM31" s="127"/>
    </row>
    <row r="32" spans="1:65" ht="22.5" customHeight="1">
      <c r="A32" s="989"/>
      <c r="B32" s="427" t="s">
        <v>9</v>
      </c>
      <c r="C32" s="428" t="s">
        <v>87</v>
      </c>
      <c r="D32" s="423" t="s">
        <v>134</v>
      </c>
      <c r="E32" s="424"/>
      <c r="F32" s="973"/>
      <c r="G32" s="974"/>
      <c r="H32" s="974"/>
      <c r="I32" s="974"/>
      <c r="J32" s="974"/>
      <c r="K32" s="974"/>
      <c r="L32" s="975"/>
      <c r="M32" s="601"/>
    </row>
    <row r="33" spans="1:13" ht="22.5" customHeight="1">
      <c r="A33" s="989"/>
      <c r="B33" s="427" t="s">
        <v>11</v>
      </c>
      <c r="C33" s="428" t="s">
        <v>134</v>
      </c>
      <c r="D33" s="423" t="s">
        <v>134</v>
      </c>
      <c r="E33" s="424"/>
      <c r="F33" s="973"/>
      <c r="G33" s="974"/>
      <c r="H33" s="974"/>
      <c r="I33" s="974"/>
      <c r="J33" s="974"/>
      <c r="K33" s="974"/>
      <c r="L33" s="975"/>
      <c r="M33" s="426"/>
    </row>
    <row r="34" spans="1:13" ht="22.5" customHeight="1">
      <c r="A34" s="989"/>
      <c r="B34" s="427" t="s">
        <v>13</v>
      </c>
      <c r="C34" s="428" t="s">
        <v>241</v>
      </c>
      <c r="D34" s="423" t="s">
        <v>247</v>
      </c>
      <c r="E34" s="424"/>
      <c r="F34" s="973"/>
      <c r="G34" s="974"/>
      <c r="H34" s="974"/>
      <c r="I34" s="974"/>
      <c r="J34" s="974"/>
      <c r="K34" s="974"/>
      <c r="L34" s="975"/>
      <c r="M34" s="426"/>
    </row>
    <row r="35" spans="1:13" ht="22.5" customHeight="1">
      <c r="A35" s="989"/>
      <c r="B35" s="427" t="s">
        <v>74</v>
      </c>
      <c r="C35" s="428" t="s">
        <v>134</v>
      </c>
      <c r="D35" s="423" t="s">
        <v>134</v>
      </c>
      <c r="E35" s="424"/>
      <c r="M35" s="426"/>
    </row>
    <row r="36" spans="1:13" ht="22.5" customHeight="1">
      <c r="A36" s="989"/>
      <c r="B36" s="427" t="s">
        <v>483</v>
      </c>
      <c r="C36" s="428" t="s">
        <v>262</v>
      </c>
      <c r="D36" s="423" t="s">
        <v>134</v>
      </c>
      <c r="E36" s="424"/>
      <c r="F36" s="993"/>
      <c r="G36" s="994"/>
      <c r="H36" s="994"/>
      <c r="I36" s="994"/>
      <c r="J36" s="994"/>
      <c r="K36" s="994"/>
      <c r="L36" s="995"/>
      <c r="M36" s="426"/>
    </row>
    <row r="37" spans="1:13" ht="22.5" customHeight="1">
      <c r="A37" s="989"/>
      <c r="B37" s="427" t="s">
        <v>76</v>
      </c>
      <c r="C37" s="428" t="s">
        <v>356</v>
      </c>
      <c r="D37" s="423" t="s">
        <v>719</v>
      </c>
      <c r="E37" s="424"/>
      <c r="F37" s="973"/>
      <c r="G37" s="974"/>
      <c r="H37" s="974"/>
      <c r="I37" s="974"/>
      <c r="J37" s="974"/>
      <c r="K37" s="974"/>
      <c r="L37" s="975"/>
      <c r="M37" s="426"/>
    </row>
    <row r="38" spans="1:13" ht="22.5" customHeight="1">
      <c r="A38" s="989"/>
      <c r="B38" s="427" t="s">
        <v>77</v>
      </c>
      <c r="C38" s="428" t="s">
        <v>707</v>
      </c>
      <c r="D38" s="423" t="s">
        <v>134</v>
      </c>
      <c r="E38" s="424"/>
      <c r="F38" s="973"/>
      <c r="G38" s="974"/>
      <c r="H38" s="974"/>
      <c r="I38" s="974"/>
      <c r="J38" s="974"/>
      <c r="K38" s="974"/>
      <c r="L38" s="975"/>
      <c r="M38" s="426"/>
    </row>
    <row r="39" spans="1:13" ht="22.5" customHeight="1">
      <c r="A39" s="989"/>
      <c r="B39" s="427" t="s">
        <v>78</v>
      </c>
      <c r="C39" s="428" t="s">
        <v>706</v>
      </c>
      <c r="D39" s="423" t="s">
        <v>134</v>
      </c>
      <c r="E39" s="424"/>
      <c r="F39" s="973"/>
      <c r="G39" s="974"/>
      <c r="H39" s="974"/>
      <c r="I39" s="974"/>
      <c r="J39" s="974"/>
      <c r="K39" s="974"/>
      <c r="L39" s="975"/>
      <c r="M39" s="426"/>
    </row>
    <row r="40" spans="1:13" ht="22.5" customHeight="1">
      <c r="A40" s="989"/>
      <c r="B40" s="427" t="s">
        <v>79</v>
      </c>
      <c r="C40" s="428" t="s">
        <v>134</v>
      </c>
      <c r="D40" s="423" t="s">
        <v>134</v>
      </c>
      <c r="E40" s="424"/>
      <c r="F40" s="973"/>
      <c r="G40" s="974"/>
      <c r="H40" s="974"/>
      <c r="I40" s="974"/>
      <c r="J40" s="974"/>
      <c r="K40" s="974"/>
      <c r="L40" s="975"/>
      <c r="M40" s="426"/>
    </row>
    <row r="41" spans="1:13">
      <c r="A41" s="990"/>
      <c r="B41" s="427" t="s">
        <v>148</v>
      </c>
      <c r="C41" s="428" t="s">
        <v>134</v>
      </c>
      <c r="D41" s="423" t="s">
        <v>134</v>
      </c>
      <c r="E41" s="425"/>
      <c r="F41" s="986"/>
      <c r="G41" s="986"/>
      <c r="H41" s="986"/>
      <c r="I41" s="986"/>
      <c r="J41" s="986"/>
      <c r="K41" s="986"/>
      <c r="L41" s="986"/>
      <c r="M41" s="425"/>
    </row>
    <row r="42" spans="1:13" ht="25.5" customHeight="1">
      <c r="A42" s="981"/>
      <c r="B42" s="385" t="s">
        <v>83</v>
      </c>
      <c r="C42" s="976" t="s">
        <v>484</v>
      </c>
      <c r="D42" s="849"/>
      <c r="E42" s="471"/>
      <c r="F42" s="480"/>
      <c r="G42" s="480"/>
      <c r="H42" s="472"/>
      <c r="I42" s="472"/>
      <c r="J42" s="472"/>
      <c r="K42" s="472"/>
      <c r="L42" s="472"/>
      <c r="M42" s="473"/>
    </row>
    <row r="43" spans="1:13" ht="25.5" customHeight="1">
      <c r="A43" s="982"/>
      <c r="B43" s="385" t="s">
        <v>84</v>
      </c>
      <c r="C43" s="976" t="s">
        <v>484</v>
      </c>
      <c r="D43" s="849"/>
      <c r="E43" s="474"/>
      <c r="F43" s="481"/>
      <c r="G43" s="481"/>
      <c r="H43" s="475"/>
      <c r="I43" s="475"/>
      <c r="J43" s="475"/>
      <c r="K43" s="475"/>
      <c r="L43" s="475"/>
      <c r="M43" s="476"/>
    </row>
    <row r="44" spans="1:13" ht="25.5" customHeight="1">
      <c r="A44" s="982"/>
      <c r="B44" s="385" t="s">
        <v>85</v>
      </c>
      <c r="C44" s="976" t="s">
        <v>484</v>
      </c>
      <c r="D44" s="849"/>
      <c r="E44" s="474"/>
      <c r="F44" s="481"/>
      <c r="G44" s="481"/>
      <c r="H44" s="475"/>
      <c r="I44" s="475"/>
      <c r="J44" s="475"/>
      <c r="K44" s="475"/>
      <c r="L44" s="475"/>
      <c r="M44" s="476"/>
    </row>
    <row r="45" spans="1:13" ht="25.5" customHeight="1">
      <c r="A45" s="982"/>
      <c r="B45" s="385" t="s">
        <v>86</v>
      </c>
      <c r="C45" s="976" t="s">
        <v>484</v>
      </c>
      <c r="D45" s="849"/>
      <c r="E45" s="474"/>
      <c r="F45" s="481"/>
      <c r="G45" s="481"/>
      <c r="H45" s="475"/>
      <c r="I45" s="475"/>
      <c r="J45" s="475"/>
      <c r="K45" s="475"/>
      <c r="L45" s="475"/>
      <c r="M45" s="476"/>
    </row>
    <row r="46" spans="1:13" ht="25.5" customHeight="1">
      <c r="A46" s="982"/>
      <c r="B46" s="385" t="s">
        <v>87</v>
      </c>
      <c r="C46" s="976" t="s">
        <v>484</v>
      </c>
      <c r="D46" s="849"/>
      <c r="E46" s="474"/>
      <c r="F46" s="481"/>
      <c r="G46" s="481"/>
      <c r="H46" s="475"/>
      <c r="I46" s="475"/>
      <c r="J46" s="475"/>
      <c r="K46" s="475"/>
      <c r="L46" s="475"/>
      <c r="M46" s="476"/>
    </row>
    <row r="47" spans="1:13" ht="25.5" customHeight="1">
      <c r="A47" s="982"/>
      <c r="B47" s="385" t="s">
        <v>88</v>
      </c>
      <c r="C47" s="976" t="s">
        <v>484</v>
      </c>
      <c r="D47" s="849"/>
      <c r="E47" s="474"/>
      <c r="F47" s="481"/>
      <c r="G47" s="481"/>
      <c r="H47" s="475"/>
      <c r="I47" s="475"/>
      <c r="J47" s="475"/>
      <c r="K47" s="475"/>
      <c r="L47" s="475"/>
      <c r="M47" s="476"/>
    </row>
    <row r="48" spans="1:13" ht="25.5" customHeight="1">
      <c r="A48" s="982"/>
      <c r="B48" s="385" t="s">
        <v>89</v>
      </c>
      <c r="C48" s="976" t="s">
        <v>484</v>
      </c>
      <c r="D48" s="849"/>
      <c r="E48" s="474"/>
      <c r="F48" s="481"/>
      <c r="G48" s="481"/>
      <c r="H48" s="475"/>
      <c r="I48" s="475"/>
      <c r="J48" s="475"/>
      <c r="K48" s="475"/>
      <c r="L48" s="475"/>
      <c r="M48" s="476"/>
    </row>
    <row r="49" spans="1:13" ht="25.5" customHeight="1">
      <c r="A49" s="982"/>
      <c r="B49" s="385" t="s">
        <v>90</v>
      </c>
      <c r="C49" s="976" t="s">
        <v>484</v>
      </c>
      <c r="D49" s="849"/>
      <c r="E49" s="474"/>
      <c r="F49" s="481"/>
      <c r="G49" s="481"/>
      <c r="H49" s="475"/>
      <c r="I49" s="475"/>
      <c r="J49" s="475"/>
      <c r="K49" s="475"/>
      <c r="L49" s="475"/>
      <c r="M49" s="476"/>
    </row>
    <row r="50" spans="1:13" ht="25.5" customHeight="1">
      <c r="A50" s="982"/>
      <c r="B50" s="385" t="s">
        <v>91</v>
      </c>
      <c r="C50" s="976" t="s">
        <v>484</v>
      </c>
      <c r="D50" s="849"/>
      <c r="E50" s="474"/>
      <c r="F50" s="481"/>
      <c r="G50" s="481"/>
      <c r="H50" s="475"/>
      <c r="I50" s="475"/>
      <c r="J50" s="475"/>
      <c r="K50" s="475"/>
      <c r="L50" s="475"/>
      <c r="M50" s="476"/>
    </row>
    <row r="51" spans="1:13" ht="25.5" customHeight="1">
      <c r="A51" s="982"/>
      <c r="B51" s="385" t="s">
        <v>92</v>
      </c>
      <c r="C51" s="976" t="s">
        <v>484</v>
      </c>
      <c r="D51" s="849"/>
      <c r="E51" s="474"/>
      <c r="F51" s="481"/>
      <c r="G51" s="481"/>
      <c r="H51" s="475"/>
      <c r="I51" s="475"/>
      <c r="J51" s="475"/>
      <c r="K51" s="475"/>
      <c r="L51" s="475"/>
      <c r="M51" s="476"/>
    </row>
    <row r="52" spans="1:13" ht="25.5" customHeight="1">
      <c r="A52" s="982"/>
      <c r="B52" s="385" t="s">
        <v>93</v>
      </c>
      <c r="C52" s="976" t="s">
        <v>626</v>
      </c>
      <c r="D52" s="849"/>
      <c r="E52" s="474"/>
      <c r="F52" s="481"/>
      <c r="G52" s="481"/>
      <c r="H52" s="475"/>
      <c r="I52" s="475"/>
      <c r="J52" s="475"/>
      <c r="K52" s="475"/>
      <c r="L52" s="475"/>
      <c r="M52" s="476"/>
    </row>
    <row r="53" spans="1:13" ht="25.5" customHeight="1">
      <c r="A53" s="982"/>
      <c r="B53" s="385" t="s">
        <v>94</v>
      </c>
      <c r="C53" s="976" t="s">
        <v>484</v>
      </c>
      <c r="D53" s="849"/>
      <c r="E53" s="474"/>
      <c r="F53" s="481"/>
      <c r="G53" s="481"/>
      <c r="H53" s="475"/>
      <c r="I53" s="475"/>
      <c r="J53" s="475"/>
      <c r="K53" s="475"/>
      <c r="L53" s="475"/>
      <c r="M53" s="476"/>
    </row>
    <row r="54" spans="1:13" ht="25.9" customHeight="1">
      <c r="A54" s="982"/>
      <c r="B54" s="385" t="s">
        <v>95</v>
      </c>
      <c r="C54" s="976" t="s">
        <v>484</v>
      </c>
      <c r="D54" s="849"/>
      <c r="E54" s="477"/>
      <c r="F54" s="482"/>
      <c r="G54" s="482"/>
      <c r="H54" s="478"/>
      <c r="I54" s="478"/>
      <c r="J54" s="478"/>
      <c r="K54" s="478"/>
      <c r="L54" s="478"/>
      <c r="M54" s="479"/>
    </row>
    <row r="55" spans="1:13" ht="21.75" thickBot="1">
      <c r="A55" s="957"/>
      <c r="B55" s="957"/>
      <c r="C55" s="957"/>
      <c r="D55" s="957"/>
      <c r="E55" s="957"/>
      <c r="F55" s="957"/>
      <c r="G55" s="957"/>
      <c r="H55" s="481"/>
      <c r="I55" s="481"/>
      <c r="J55" s="481"/>
      <c r="K55" s="481"/>
      <c r="L55" s="481"/>
      <c r="M55" s="481"/>
    </row>
    <row r="56" spans="1:13" ht="23.25" thickBot="1">
      <c r="A56" s="954" t="s">
        <v>625</v>
      </c>
      <c r="B56" s="955"/>
      <c r="C56" s="955"/>
      <c r="D56" s="955"/>
      <c r="E56" s="955"/>
      <c r="F56" s="955"/>
      <c r="G56" s="956"/>
      <c r="H56" s="481"/>
      <c r="I56" s="481"/>
      <c r="J56" s="481"/>
      <c r="K56" s="481"/>
      <c r="L56" s="481"/>
      <c r="M56" s="481"/>
    </row>
    <row r="57" spans="1:13" ht="21.75" thickBot="1">
      <c r="A57" s="958" t="s">
        <v>170</v>
      </c>
      <c r="B57" s="959"/>
      <c r="C57" s="959"/>
      <c r="D57" s="959"/>
      <c r="E57" s="959"/>
      <c r="F57" s="959"/>
      <c r="G57" s="960"/>
      <c r="H57" s="481"/>
      <c r="I57" s="481"/>
      <c r="J57" s="481"/>
      <c r="K57" s="481"/>
      <c r="L57" s="481"/>
      <c r="M57" s="481"/>
    </row>
    <row r="58" spans="1:13">
      <c r="A58" s="617" t="s">
        <v>579</v>
      </c>
      <c r="B58" s="618" t="s">
        <v>193</v>
      </c>
      <c r="C58" s="618" t="s">
        <v>198</v>
      </c>
      <c r="D58" s="618" t="s">
        <v>210</v>
      </c>
      <c r="E58" s="637" t="s">
        <v>211</v>
      </c>
      <c r="F58" s="637" t="s">
        <v>213</v>
      </c>
      <c r="G58" s="619"/>
      <c r="H58" s="481"/>
      <c r="I58" s="481"/>
      <c r="J58" s="481"/>
      <c r="K58" s="481"/>
      <c r="L58" s="481"/>
      <c r="M58" s="481"/>
    </row>
    <row r="59" spans="1:13">
      <c r="A59" s="620" t="s">
        <v>580</v>
      </c>
      <c r="B59" s="621" t="s">
        <v>212</v>
      </c>
      <c r="C59" s="638" t="s">
        <v>195</v>
      </c>
      <c r="D59" s="638" t="s">
        <v>196</v>
      </c>
      <c r="E59" s="622" t="s">
        <v>217</v>
      </c>
      <c r="F59" s="622" t="s">
        <v>201</v>
      </c>
      <c r="G59" s="623" t="s">
        <v>227</v>
      </c>
      <c r="H59" s="481"/>
      <c r="I59" s="481"/>
      <c r="J59" s="481"/>
      <c r="K59" s="481"/>
      <c r="L59" s="481"/>
      <c r="M59" s="481"/>
    </row>
    <row r="60" spans="1:13">
      <c r="A60" s="620" t="s">
        <v>581</v>
      </c>
      <c r="B60" s="621" t="s">
        <v>207</v>
      </c>
      <c r="C60" s="621" t="s">
        <v>216</v>
      </c>
      <c r="D60" s="621" t="s">
        <v>221</v>
      </c>
      <c r="E60" s="622" t="s">
        <v>206</v>
      </c>
      <c r="F60" s="622" t="s">
        <v>205</v>
      </c>
      <c r="G60" s="624"/>
      <c r="H60" s="481"/>
      <c r="I60" s="481"/>
      <c r="J60" s="481"/>
      <c r="K60" s="481"/>
      <c r="L60" s="481"/>
      <c r="M60" s="481"/>
    </row>
    <row r="61" spans="1:13">
      <c r="A61" s="620" t="s">
        <v>582</v>
      </c>
      <c r="B61" s="622" t="s">
        <v>219</v>
      </c>
      <c r="C61" s="621" t="s">
        <v>197</v>
      </c>
      <c r="D61" s="638" t="s">
        <v>209</v>
      </c>
      <c r="E61" s="638" t="s">
        <v>220</v>
      </c>
      <c r="F61" s="621" t="s">
        <v>225</v>
      </c>
      <c r="G61" s="624" t="s">
        <v>194</v>
      </c>
      <c r="H61" s="481"/>
      <c r="I61" s="481"/>
      <c r="J61" s="481"/>
      <c r="K61" s="481"/>
      <c r="L61" s="481"/>
      <c r="M61" s="481"/>
    </row>
    <row r="62" spans="1:13">
      <c r="A62" s="620" t="s">
        <v>583</v>
      </c>
      <c r="B62" s="621" t="s">
        <v>222</v>
      </c>
      <c r="C62" s="622" t="s">
        <v>199</v>
      </c>
      <c r="D62" s="622" t="s">
        <v>204</v>
      </c>
      <c r="E62" s="621"/>
      <c r="F62" s="621"/>
      <c r="G62" s="624"/>
      <c r="H62" s="481"/>
      <c r="I62" s="481"/>
      <c r="J62" s="481"/>
      <c r="K62" s="481"/>
      <c r="L62" s="481"/>
      <c r="M62" s="481"/>
    </row>
    <row r="63" spans="1:13">
      <c r="A63" s="620" t="s">
        <v>584</v>
      </c>
      <c r="B63" s="638" t="s">
        <v>218</v>
      </c>
      <c r="C63" s="621"/>
      <c r="D63" s="621"/>
      <c r="E63" s="621"/>
      <c r="F63" s="621"/>
      <c r="G63" s="623"/>
      <c r="H63" s="481"/>
      <c r="I63" s="481"/>
      <c r="J63" s="481"/>
      <c r="K63" s="481"/>
      <c r="L63" s="481"/>
      <c r="M63" s="481"/>
    </row>
    <row r="64" spans="1:13">
      <c r="A64" s="620" t="s">
        <v>585</v>
      </c>
      <c r="B64" s="621" t="s">
        <v>208</v>
      </c>
      <c r="C64" s="622" t="s">
        <v>214</v>
      </c>
      <c r="D64" s="622" t="s">
        <v>223</v>
      </c>
      <c r="E64" s="638" t="s">
        <v>203</v>
      </c>
      <c r="F64" s="621"/>
      <c r="G64" s="624"/>
      <c r="H64" s="481"/>
      <c r="I64" s="481"/>
      <c r="J64" s="481"/>
      <c r="K64" s="481"/>
      <c r="L64" s="481"/>
      <c r="M64" s="481"/>
    </row>
    <row r="65" spans="1:13" ht="21.75" thickBot="1">
      <c r="A65" s="625" t="s">
        <v>586</v>
      </c>
      <c r="B65" s="626" t="s">
        <v>224</v>
      </c>
      <c r="C65" s="626" t="s">
        <v>226</v>
      </c>
      <c r="D65" s="626"/>
      <c r="E65" s="626"/>
      <c r="F65" s="626"/>
      <c r="G65" s="627"/>
      <c r="H65" s="481"/>
      <c r="I65" s="481"/>
      <c r="J65" s="481"/>
      <c r="K65" s="481"/>
      <c r="L65" s="481"/>
      <c r="M65" s="481"/>
    </row>
    <row r="66" spans="1:13" ht="21.75" thickBot="1">
      <c r="A66" s="961"/>
      <c r="B66" s="962"/>
      <c r="C66" s="962"/>
      <c r="D66" s="962"/>
      <c r="E66" s="962"/>
      <c r="F66" s="962"/>
      <c r="G66" s="963"/>
      <c r="H66" s="481"/>
      <c r="I66" s="481"/>
      <c r="J66" s="481"/>
      <c r="K66" s="481"/>
      <c r="L66" s="481"/>
      <c r="M66" s="481"/>
    </row>
    <row r="67" spans="1:13" ht="21.75" thickBot="1">
      <c r="A67" s="964" t="s">
        <v>171</v>
      </c>
      <c r="B67" s="965"/>
      <c r="C67" s="965"/>
      <c r="D67" s="965"/>
      <c r="E67" s="965"/>
      <c r="F67" s="965"/>
      <c r="G67" s="966"/>
      <c r="H67" s="481"/>
      <c r="I67" s="481"/>
      <c r="J67" s="481"/>
      <c r="K67" s="481"/>
      <c r="L67" s="481"/>
      <c r="M67" s="481"/>
    </row>
    <row r="68" spans="1:13">
      <c r="A68" s="617" t="s">
        <v>587</v>
      </c>
      <c r="B68" s="628" t="s">
        <v>588</v>
      </c>
      <c r="C68" s="618"/>
      <c r="D68" s="618"/>
      <c r="E68" s="618"/>
      <c r="F68" s="618"/>
      <c r="G68" s="619"/>
      <c r="H68" s="481"/>
      <c r="I68" s="481"/>
      <c r="J68" s="481"/>
      <c r="K68" s="481"/>
      <c r="L68" s="481"/>
      <c r="M68" s="481"/>
    </row>
    <row r="69" spans="1:13">
      <c r="A69" s="620" t="s">
        <v>589</v>
      </c>
      <c r="B69" s="621" t="s">
        <v>590</v>
      </c>
      <c r="C69" s="621"/>
      <c r="D69" s="621"/>
      <c r="E69" s="621"/>
      <c r="F69" s="621"/>
      <c r="G69" s="624"/>
      <c r="H69" s="481"/>
      <c r="I69" s="481"/>
      <c r="J69" s="481"/>
      <c r="K69" s="481"/>
      <c r="L69" s="481"/>
      <c r="M69" s="481"/>
    </row>
    <row r="70" spans="1:13">
      <c r="A70" s="620" t="s">
        <v>591</v>
      </c>
      <c r="B70" s="629" t="s">
        <v>592</v>
      </c>
      <c r="C70" s="621"/>
      <c r="D70" s="621"/>
      <c r="E70" s="621"/>
      <c r="F70" s="621"/>
      <c r="G70" s="624"/>
      <c r="H70" s="481"/>
      <c r="I70" s="481"/>
      <c r="J70" s="481"/>
      <c r="K70" s="481"/>
      <c r="L70" s="481"/>
      <c r="M70" s="481"/>
    </row>
    <row r="71" spans="1:13">
      <c r="A71" s="620" t="s">
        <v>593</v>
      </c>
      <c r="B71" s="629" t="s">
        <v>594</v>
      </c>
      <c r="C71" s="621"/>
      <c r="D71" s="621"/>
      <c r="E71" s="621"/>
      <c r="F71" s="621"/>
      <c r="G71" s="624"/>
      <c r="H71" s="481"/>
      <c r="I71" s="481"/>
      <c r="J71" s="481"/>
      <c r="K71" s="481"/>
      <c r="L71" s="481"/>
      <c r="M71" s="481"/>
    </row>
    <row r="72" spans="1:13">
      <c r="A72" s="620" t="s">
        <v>595</v>
      </c>
      <c r="B72" s="630" t="s">
        <v>596</v>
      </c>
      <c r="C72" s="621"/>
      <c r="D72" s="621"/>
      <c r="E72" s="621"/>
      <c r="F72" s="621"/>
      <c r="G72" s="624"/>
      <c r="H72" s="481"/>
      <c r="I72" s="481"/>
      <c r="J72" s="481"/>
      <c r="K72" s="481"/>
      <c r="L72" s="481"/>
      <c r="M72" s="481"/>
    </row>
    <row r="73" spans="1:13">
      <c r="A73" s="620" t="s">
        <v>597</v>
      </c>
      <c r="B73" s="629" t="s">
        <v>598</v>
      </c>
      <c r="C73" s="621"/>
      <c r="D73" s="621"/>
      <c r="E73" s="621"/>
      <c r="F73" s="621"/>
      <c r="G73" s="624"/>
      <c r="H73" s="481"/>
      <c r="I73" s="481"/>
      <c r="J73" s="481"/>
      <c r="K73" s="481"/>
      <c r="L73" s="481"/>
      <c r="M73" s="481"/>
    </row>
    <row r="74" spans="1:13">
      <c r="A74" s="620" t="s">
        <v>599</v>
      </c>
      <c r="B74" s="629" t="s">
        <v>600</v>
      </c>
      <c r="C74" s="629" t="s">
        <v>601</v>
      </c>
      <c r="D74" s="621"/>
      <c r="E74" s="621"/>
      <c r="F74" s="621"/>
      <c r="G74" s="624"/>
      <c r="H74" s="481"/>
      <c r="I74" s="481"/>
      <c r="J74" s="481"/>
      <c r="K74" s="481"/>
      <c r="L74" s="481"/>
      <c r="M74" s="481"/>
    </row>
    <row r="75" spans="1:13">
      <c r="A75" s="620" t="s">
        <v>602</v>
      </c>
      <c r="B75" s="629" t="s">
        <v>590</v>
      </c>
      <c r="C75" s="621"/>
      <c r="D75" s="621"/>
      <c r="E75" s="621"/>
      <c r="F75" s="621"/>
      <c r="G75" s="624"/>
      <c r="H75" s="481"/>
      <c r="I75" s="481"/>
      <c r="J75" s="481"/>
      <c r="K75" s="481"/>
      <c r="L75" s="481"/>
      <c r="M75" s="481"/>
    </row>
    <row r="76" spans="1:13">
      <c r="A76" s="620" t="s">
        <v>603</v>
      </c>
      <c r="B76" s="629" t="s">
        <v>604</v>
      </c>
      <c r="C76" s="629" t="s">
        <v>605</v>
      </c>
      <c r="D76" s="629" t="s">
        <v>606</v>
      </c>
      <c r="E76" s="621"/>
      <c r="F76" s="621"/>
      <c r="G76" s="624"/>
      <c r="H76" s="481"/>
      <c r="I76" s="481"/>
      <c r="J76" s="481"/>
      <c r="K76" s="481"/>
      <c r="L76" s="481"/>
      <c r="M76" s="481"/>
    </row>
    <row r="77" spans="1:13">
      <c r="A77" s="620" t="s">
        <v>607</v>
      </c>
      <c r="B77" s="621" t="s">
        <v>608</v>
      </c>
      <c r="C77" s="621"/>
      <c r="D77" s="621"/>
      <c r="E77" s="621"/>
      <c r="F77" s="621"/>
      <c r="G77" s="624"/>
      <c r="H77" s="481"/>
      <c r="I77" s="481"/>
      <c r="J77" s="481"/>
      <c r="K77" s="481"/>
      <c r="L77" s="481"/>
      <c r="M77" s="481"/>
    </row>
    <row r="78" spans="1:13">
      <c r="A78" s="620" t="s">
        <v>609</v>
      </c>
      <c r="B78" s="621" t="s">
        <v>610</v>
      </c>
      <c r="C78" s="622" t="s">
        <v>611</v>
      </c>
      <c r="D78" s="621"/>
      <c r="E78" s="621"/>
      <c r="F78" s="621"/>
      <c r="G78" s="624"/>
      <c r="H78" s="481"/>
      <c r="I78" s="481"/>
      <c r="J78" s="481"/>
      <c r="K78" s="481"/>
      <c r="L78" s="481"/>
      <c r="M78" s="481"/>
    </row>
    <row r="79" spans="1:13">
      <c r="A79" s="620" t="s">
        <v>612</v>
      </c>
      <c r="B79" s="621" t="s">
        <v>613</v>
      </c>
      <c r="C79" s="621"/>
      <c r="D79" s="621"/>
      <c r="E79" s="621"/>
      <c r="F79" s="621"/>
      <c r="G79" s="624"/>
      <c r="H79" s="481"/>
      <c r="I79" s="481"/>
      <c r="J79" s="481"/>
      <c r="K79" s="481"/>
      <c r="L79" s="481"/>
      <c r="M79" s="481"/>
    </row>
    <row r="80" spans="1:13">
      <c r="A80" s="620" t="s">
        <v>614</v>
      </c>
      <c r="B80" s="621" t="s">
        <v>615</v>
      </c>
      <c r="C80" s="621"/>
      <c r="D80" s="621"/>
      <c r="E80" s="621"/>
      <c r="F80" s="621"/>
      <c r="G80" s="624"/>
      <c r="H80" s="481"/>
      <c r="I80" s="481"/>
      <c r="J80" s="481"/>
      <c r="K80" s="481"/>
      <c r="L80" s="481"/>
      <c r="M80" s="481"/>
    </row>
    <row r="81" spans="1:30">
      <c r="A81" s="620" t="s">
        <v>616</v>
      </c>
      <c r="B81" s="621" t="s">
        <v>617</v>
      </c>
      <c r="C81" s="621"/>
      <c r="D81" s="621"/>
      <c r="E81" s="621"/>
      <c r="F81" s="621"/>
      <c r="G81" s="624"/>
      <c r="H81" s="481"/>
      <c r="I81" s="481"/>
      <c r="J81" s="481"/>
      <c r="K81" s="481"/>
      <c r="L81" s="481"/>
      <c r="M81" s="481"/>
    </row>
    <row r="82" spans="1:30">
      <c r="A82" s="620" t="s">
        <v>618</v>
      </c>
      <c r="B82" s="621" t="s">
        <v>619</v>
      </c>
      <c r="C82" s="621" t="s">
        <v>620</v>
      </c>
      <c r="D82" s="621"/>
      <c r="E82" s="621"/>
      <c r="F82" s="621"/>
      <c r="G82" s="624"/>
      <c r="H82" s="481"/>
      <c r="I82" s="481"/>
      <c r="J82" s="481"/>
      <c r="K82" s="481"/>
      <c r="L82" s="481"/>
      <c r="M82" s="481"/>
    </row>
    <row r="83" spans="1:30" ht="21.75" thickBot="1">
      <c r="A83" s="625" t="s">
        <v>621</v>
      </c>
      <c r="B83" s="626" t="s">
        <v>622</v>
      </c>
      <c r="C83" s="636" t="s">
        <v>623</v>
      </c>
      <c r="D83" s="626"/>
      <c r="E83" s="626"/>
      <c r="F83" s="626"/>
      <c r="G83" s="631"/>
      <c r="H83" s="481"/>
      <c r="I83" s="481"/>
      <c r="J83" s="481"/>
      <c r="K83" s="481"/>
      <c r="L83" s="481"/>
      <c r="M83" s="481"/>
    </row>
    <row r="84" spans="1:30" ht="21.75" thickBot="1">
      <c r="A84" s="967" t="s">
        <v>624</v>
      </c>
      <c r="B84" s="968"/>
      <c r="C84" s="968"/>
      <c r="D84" s="968"/>
      <c r="E84" s="968"/>
      <c r="F84" s="968"/>
      <c r="G84" s="969"/>
      <c r="H84" s="481"/>
      <c r="I84" s="481"/>
      <c r="J84" s="481"/>
      <c r="K84" s="481"/>
      <c r="L84" s="481"/>
      <c r="M84" s="481"/>
    </row>
    <row r="85" spans="1:30">
      <c r="A85" s="481"/>
      <c r="B85" s="481"/>
      <c r="C85" s="481"/>
      <c r="D85" s="481"/>
      <c r="E85" s="481"/>
      <c r="F85" s="481"/>
      <c r="G85" s="481"/>
      <c r="H85" s="481"/>
      <c r="I85" s="481"/>
      <c r="J85" s="481"/>
      <c r="K85" s="481"/>
      <c r="L85" s="481"/>
      <c r="M85" s="481"/>
      <c r="N85" s="632"/>
      <c r="O85" s="632"/>
      <c r="P85" s="632"/>
      <c r="Q85" s="632"/>
      <c r="R85" s="632"/>
      <c r="S85" s="632"/>
      <c r="T85" s="632"/>
      <c r="U85" s="632"/>
      <c r="V85" s="632"/>
      <c r="W85" s="632"/>
      <c r="X85" s="632"/>
      <c r="Y85" s="632"/>
      <c r="Z85" s="632"/>
      <c r="AA85" s="632"/>
      <c r="AB85" s="632"/>
      <c r="AC85" s="632"/>
      <c r="AD85" s="632"/>
    </row>
    <row r="86" spans="1:30">
      <c r="A86" s="481"/>
      <c r="B86" s="481"/>
      <c r="C86" s="481"/>
      <c r="D86" s="481"/>
      <c r="E86" s="481"/>
      <c r="F86" s="481"/>
      <c r="G86" s="481"/>
      <c r="H86" s="481"/>
      <c r="I86" s="481"/>
      <c r="J86" s="481"/>
      <c r="K86" s="481"/>
      <c r="L86" s="481"/>
      <c r="M86" s="481"/>
      <c r="N86" s="632"/>
      <c r="O86" s="632"/>
      <c r="P86" s="632"/>
      <c r="Q86" s="632"/>
      <c r="R86" s="632"/>
      <c r="S86" s="632"/>
      <c r="T86" s="632"/>
      <c r="U86" s="632"/>
      <c r="V86" s="632"/>
      <c r="W86" s="632"/>
      <c r="X86" s="632"/>
      <c r="Y86" s="632"/>
      <c r="Z86" s="632"/>
      <c r="AA86" s="632"/>
      <c r="AB86" s="632"/>
      <c r="AC86" s="632"/>
      <c r="AD86" s="632"/>
    </row>
    <row r="87" spans="1:30">
      <c r="A87" s="481"/>
      <c r="B87" s="481"/>
      <c r="C87" s="481"/>
      <c r="D87" s="481"/>
      <c r="E87" s="481"/>
      <c r="F87" s="481"/>
      <c r="G87" s="481"/>
      <c r="H87" s="481"/>
      <c r="I87" s="481"/>
      <c r="J87" s="481"/>
      <c r="K87" s="481"/>
      <c r="L87" s="481"/>
      <c r="M87" s="481"/>
      <c r="N87" s="632"/>
      <c r="O87" s="632"/>
      <c r="P87" s="632"/>
      <c r="Q87" s="632"/>
      <c r="R87" s="632"/>
      <c r="S87" s="632"/>
      <c r="T87" s="632"/>
      <c r="U87" s="632"/>
      <c r="V87" s="632"/>
      <c r="W87" s="632"/>
      <c r="X87" s="632"/>
      <c r="Y87" s="632"/>
      <c r="Z87" s="632"/>
      <c r="AA87" s="632"/>
      <c r="AB87" s="632"/>
      <c r="AC87" s="632"/>
      <c r="AD87" s="632"/>
    </row>
    <row r="88" spans="1:30">
      <c r="A88" s="481"/>
      <c r="B88" s="481"/>
      <c r="C88" s="481"/>
      <c r="D88" s="481"/>
      <c r="E88" s="481"/>
      <c r="F88" s="481"/>
      <c r="G88" s="481"/>
      <c r="H88" s="481"/>
      <c r="I88" s="481"/>
      <c r="J88" s="481"/>
      <c r="K88" s="481"/>
      <c r="L88" s="481"/>
      <c r="M88" s="481"/>
      <c r="N88" s="632"/>
      <c r="O88" s="632"/>
      <c r="P88" s="632"/>
      <c r="Q88" s="632"/>
      <c r="R88" s="632"/>
      <c r="S88" s="632"/>
      <c r="T88" s="632"/>
      <c r="U88" s="632"/>
      <c r="V88" s="632"/>
      <c r="W88" s="632"/>
      <c r="X88" s="632"/>
      <c r="Y88" s="632"/>
      <c r="Z88" s="632"/>
      <c r="AA88" s="632"/>
      <c r="AB88" s="632"/>
      <c r="AC88" s="632"/>
      <c r="AD88" s="632"/>
    </row>
    <row r="89" spans="1:30">
      <c r="A89" s="481"/>
      <c r="B89" s="481"/>
      <c r="C89" s="481"/>
      <c r="D89" s="481"/>
      <c r="E89" s="481"/>
      <c r="F89" s="481"/>
      <c r="G89" s="481"/>
      <c r="H89" s="481"/>
      <c r="I89" s="481"/>
      <c r="J89" s="481"/>
      <c r="K89" s="481"/>
      <c r="L89" s="481"/>
      <c r="M89" s="481"/>
      <c r="N89" s="632"/>
      <c r="O89" s="632"/>
      <c r="P89" s="632"/>
      <c r="Q89" s="632"/>
      <c r="R89" s="632"/>
      <c r="S89" s="632"/>
      <c r="T89" s="632"/>
      <c r="U89" s="632"/>
      <c r="V89" s="632"/>
      <c r="W89" s="632"/>
      <c r="X89" s="632"/>
      <c r="Y89" s="632"/>
      <c r="Z89" s="632"/>
      <c r="AA89" s="632"/>
      <c r="AB89" s="632"/>
      <c r="AC89" s="632"/>
      <c r="AD89" s="632"/>
    </row>
    <row r="90" spans="1:30">
      <c r="A90" s="481"/>
      <c r="B90" s="481"/>
      <c r="C90" s="481"/>
      <c r="D90" s="481"/>
      <c r="E90" s="481"/>
      <c r="F90" s="481"/>
      <c r="G90" s="481"/>
      <c r="H90" s="481"/>
      <c r="I90" s="481"/>
      <c r="J90" s="481"/>
      <c r="K90" s="481"/>
      <c r="L90" s="481"/>
      <c r="M90" s="481"/>
      <c r="N90" s="632"/>
      <c r="O90" s="632"/>
      <c r="P90" s="632"/>
      <c r="Q90" s="632"/>
      <c r="R90" s="632"/>
      <c r="S90" s="632"/>
      <c r="T90" s="632"/>
      <c r="U90" s="632"/>
      <c r="V90" s="632"/>
      <c r="W90" s="632"/>
      <c r="X90" s="632"/>
      <c r="Y90" s="632"/>
      <c r="Z90" s="632"/>
      <c r="AA90" s="632"/>
      <c r="AB90" s="632"/>
      <c r="AC90" s="632"/>
      <c r="AD90" s="632"/>
    </row>
    <row r="91" spans="1:30">
      <c r="A91" s="481"/>
      <c r="B91" s="481"/>
      <c r="C91" s="481"/>
      <c r="D91" s="481"/>
      <c r="E91" s="481"/>
      <c r="F91" s="481"/>
      <c r="G91" s="481"/>
      <c r="H91" s="481"/>
      <c r="I91" s="481"/>
      <c r="J91" s="481"/>
      <c r="K91" s="481"/>
      <c r="L91" s="481"/>
      <c r="M91" s="481"/>
      <c r="N91" s="632"/>
      <c r="O91" s="632"/>
      <c r="P91" s="632"/>
      <c r="Q91" s="632"/>
      <c r="R91" s="632"/>
      <c r="S91" s="632"/>
      <c r="T91" s="632"/>
      <c r="U91" s="632"/>
      <c r="V91" s="632"/>
      <c r="W91" s="632"/>
      <c r="X91" s="632"/>
      <c r="Y91" s="632"/>
      <c r="Z91" s="632"/>
      <c r="AA91" s="632"/>
      <c r="AB91" s="632"/>
      <c r="AC91" s="632"/>
      <c r="AD91" s="632"/>
    </row>
    <row r="92" spans="1:30">
      <c r="A92" s="481"/>
      <c r="B92" s="481"/>
      <c r="C92" s="481"/>
      <c r="D92" s="481"/>
      <c r="E92" s="481"/>
      <c r="F92" s="481"/>
      <c r="G92" s="481"/>
      <c r="H92" s="481"/>
      <c r="I92" s="481"/>
      <c r="J92" s="481"/>
      <c r="K92" s="481"/>
      <c r="L92" s="481"/>
      <c r="M92" s="481"/>
      <c r="N92" s="632"/>
      <c r="O92" s="632"/>
      <c r="P92" s="632"/>
      <c r="Q92" s="632"/>
      <c r="R92" s="632"/>
      <c r="S92" s="632"/>
      <c r="T92" s="632"/>
      <c r="U92" s="632"/>
      <c r="V92" s="632"/>
      <c r="W92" s="632"/>
      <c r="X92" s="632"/>
      <c r="Y92" s="632"/>
      <c r="Z92" s="632"/>
      <c r="AA92" s="632"/>
      <c r="AB92" s="632"/>
      <c r="AC92" s="632"/>
      <c r="AD92" s="632"/>
    </row>
    <row r="93" spans="1:30">
      <c r="A93" s="481"/>
      <c r="B93" s="481"/>
      <c r="C93" s="481"/>
      <c r="D93" s="481"/>
      <c r="E93" s="481"/>
      <c r="F93" s="481"/>
      <c r="G93" s="481"/>
      <c r="H93" s="481"/>
      <c r="I93" s="481"/>
      <c r="J93" s="481"/>
      <c r="K93" s="481"/>
      <c r="L93" s="481"/>
      <c r="M93" s="481"/>
      <c r="N93" s="632"/>
      <c r="O93" s="632"/>
      <c r="P93" s="632"/>
      <c r="Q93" s="632"/>
      <c r="R93" s="632"/>
      <c r="S93" s="632"/>
      <c r="T93" s="632"/>
      <c r="U93" s="632"/>
      <c r="V93" s="632"/>
      <c r="W93" s="632"/>
      <c r="X93" s="632"/>
      <c r="Y93" s="632"/>
      <c r="Z93" s="632"/>
      <c r="AA93" s="632"/>
      <c r="AB93" s="632"/>
      <c r="AC93" s="632"/>
      <c r="AD93" s="632"/>
    </row>
    <row r="94" spans="1:30">
      <c r="A94" s="481"/>
      <c r="B94" s="481"/>
      <c r="C94" s="481"/>
      <c r="D94" s="481"/>
      <c r="E94" s="481"/>
      <c r="F94" s="481"/>
      <c r="G94" s="481"/>
      <c r="H94" s="481"/>
      <c r="I94" s="481"/>
      <c r="J94" s="481"/>
      <c r="K94" s="481"/>
      <c r="L94" s="481"/>
      <c r="M94" s="481"/>
      <c r="N94" s="632"/>
      <c r="O94" s="632"/>
      <c r="P94" s="632"/>
      <c r="Q94" s="632"/>
      <c r="R94" s="632"/>
      <c r="S94" s="632"/>
      <c r="T94" s="632"/>
      <c r="U94" s="632"/>
      <c r="V94" s="632"/>
      <c r="W94" s="632"/>
      <c r="X94" s="632"/>
      <c r="Y94" s="632"/>
      <c r="Z94" s="632"/>
      <c r="AA94" s="632"/>
      <c r="AB94" s="632"/>
      <c r="AC94" s="632"/>
      <c r="AD94" s="632"/>
    </row>
    <row r="95" spans="1:30">
      <c r="A95" s="481"/>
      <c r="B95" s="481"/>
      <c r="C95" s="481"/>
      <c r="D95" s="481"/>
      <c r="E95" s="481"/>
      <c r="F95" s="481"/>
      <c r="G95" s="481"/>
      <c r="H95" s="481"/>
      <c r="I95" s="481"/>
      <c r="J95" s="481"/>
      <c r="K95" s="481"/>
      <c r="L95" s="481"/>
      <c r="M95" s="481"/>
      <c r="N95" s="632"/>
      <c r="O95" s="632"/>
      <c r="P95" s="632"/>
      <c r="Q95" s="632"/>
      <c r="R95" s="632"/>
      <c r="S95" s="632"/>
      <c r="T95" s="632"/>
      <c r="U95" s="632"/>
      <c r="V95" s="632"/>
      <c r="W95" s="632"/>
      <c r="X95" s="632"/>
      <c r="Y95" s="632"/>
      <c r="Z95" s="632"/>
      <c r="AA95" s="632"/>
      <c r="AB95" s="632"/>
      <c r="AC95" s="632"/>
      <c r="AD95" s="632"/>
    </row>
    <row r="96" spans="1:30">
      <c r="A96" s="481"/>
      <c r="B96" s="481"/>
      <c r="C96" s="481"/>
      <c r="D96" s="481"/>
      <c r="E96" s="481"/>
      <c r="F96" s="481"/>
      <c r="G96" s="481"/>
      <c r="H96" s="481"/>
      <c r="I96" s="481"/>
      <c r="J96" s="481"/>
      <c r="K96" s="481"/>
      <c r="L96" s="481"/>
      <c r="M96" s="481"/>
      <c r="N96" s="632"/>
      <c r="O96" s="632"/>
      <c r="P96" s="632"/>
      <c r="Q96" s="632"/>
      <c r="R96" s="632"/>
      <c r="S96" s="632"/>
      <c r="T96" s="632"/>
      <c r="U96" s="632"/>
      <c r="V96" s="632"/>
      <c r="W96" s="632"/>
      <c r="X96" s="632"/>
      <c r="Y96" s="632"/>
      <c r="Z96" s="632"/>
      <c r="AA96" s="632"/>
      <c r="AB96" s="632"/>
      <c r="AC96" s="632"/>
      <c r="AD96" s="632"/>
    </row>
    <row r="97" spans="1:30">
      <c r="A97" s="481"/>
      <c r="B97" s="481"/>
      <c r="C97" s="481"/>
      <c r="D97" s="481"/>
      <c r="E97" s="481"/>
      <c r="F97" s="481"/>
      <c r="G97" s="481"/>
      <c r="H97" s="481"/>
      <c r="I97" s="481"/>
      <c r="J97" s="481"/>
      <c r="K97" s="481"/>
      <c r="L97" s="481"/>
      <c r="M97" s="481"/>
      <c r="N97" s="632"/>
      <c r="O97" s="632"/>
      <c r="P97" s="632"/>
      <c r="Q97" s="632"/>
      <c r="R97" s="632"/>
      <c r="S97" s="632"/>
      <c r="T97" s="632"/>
      <c r="U97" s="632"/>
      <c r="V97" s="632"/>
      <c r="W97" s="632"/>
      <c r="X97" s="632"/>
      <c r="Y97" s="632"/>
      <c r="Z97" s="632"/>
      <c r="AA97" s="632"/>
      <c r="AB97" s="632"/>
      <c r="AC97" s="632"/>
      <c r="AD97" s="632"/>
    </row>
    <row r="98" spans="1:30">
      <c r="A98" s="481"/>
      <c r="B98" s="481"/>
      <c r="C98" s="481"/>
      <c r="D98" s="481"/>
      <c r="E98" s="481"/>
      <c r="F98" s="481"/>
      <c r="G98" s="481"/>
      <c r="H98" s="481"/>
      <c r="I98" s="481"/>
      <c r="J98" s="481"/>
      <c r="K98" s="481"/>
      <c r="L98" s="481"/>
      <c r="M98" s="481"/>
      <c r="N98" s="632"/>
      <c r="O98" s="632"/>
      <c r="P98" s="632"/>
      <c r="Q98" s="632"/>
      <c r="R98" s="632"/>
      <c r="S98" s="632"/>
      <c r="T98" s="632"/>
      <c r="U98" s="632"/>
      <c r="V98" s="632"/>
      <c r="W98" s="632"/>
      <c r="X98" s="632"/>
      <c r="Y98" s="632"/>
      <c r="Z98" s="632"/>
      <c r="AA98" s="632"/>
      <c r="AB98" s="632"/>
      <c r="AC98" s="632"/>
      <c r="AD98" s="632"/>
    </row>
    <row r="99" spans="1:30">
      <c r="A99" s="481"/>
      <c r="B99" s="481"/>
      <c r="C99" s="481"/>
      <c r="D99" s="481"/>
      <c r="E99" s="481"/>
      <c r="F99" s="481"/>
      <c r="G99" s="481"/>
      <c r="H99" s="481"/>
      <c r="I99" s="481"/>
      <c r="J99" s="481"/>
      <c r="K99" s="481"/>
      <c r="L99" s="481"/>
      <c r="M99" s="481"/>
      <c r="N99" s="632"/>
      <c r="O99" s="632"/>
      <c r="P99" s="632"/>
      <c r="Q99" s="632"/>
      <c r="R99" s="632"/>
      <c r="S99" s="632"/>
      <c r="T99" s="632"/>
      <c r="U99" s="632"/>
      <c r="V99" s="632"/>
      <c r="W99" s="632"/>
      <c r="X99" s="632"/>
      <c r="Y99" s="632"/>
      <c r="Z99" s="632"/>
      <c r="AA99" s="632"/>
      <c r="AB99" s="632"/>
      <c r="AC99" s="632"/>
      <c r="AD99" s="632"/>
    </row>
    <row r="100" spans="1:30">
      <c r="A100" s="481"/>
      <c r="B100" s="481"/>
      <c r="C100" s="481"/>
      <c r="D100" s="481"/>
      <c r="E100" s="481"/>
      <c r="F100" s="481"/>
      <c r="G100" s="481"/>
      <c r="H100" s="481"/>
      <c r="I100" s="481"/>
      <c r="J100" s="481"/>
      <c r="K100" s="481"/>
      <c r="L100" s="481"/>
      <c r="M100" s="481"/>
      <c r="N100" s="632"/>
      <c r="O100" s="632"/>
      <c r="P100" s="632"/>
      <c r="Q100" s="632"/>
      <c r="R100" s="632"/>
      <c r="S100" s="632"/>
      <c r="T100" s="632"/>
      <c r="U100" s="632"/>
      <c r="V100" s="632"/>
      <c r="W100" s="632"/>
      <c r="X100" s="632"/>
      <c r="Y100" s="632"/>
      <c r="Z100" s="632"/>
      <c r="AA100" s="632"/>
      <c r="AB100" s="632"/>
      <c r="AC100" s="632"/>
      <c r="AD100" s="632"/>
    </row>
    <row r="101" spans="1:30">
      <c r="A101" s="481"/>
      <c r="B101" s="481"/>
      <c r="C101" s="481"/>
      <c r="D101" s="481"/>
      <c r="E101" s="481"/>
      <c r="F101" s="481"/>
      <c r="G101" s="481"/>
      <c r="H101" s="481"/>
      <c r="I101" s="481"/>
      <c r="J101" s="481"/>
      <c r="K101" s="481"/>
      <c r="L101" s="481"/>
      <c r="M101" s="481"/>
      <c r="N101" s="632"/>
      <c r="O101" s="632"/>
      <c r="P101" s="632"/>
      <c r="Q101" s="632"/>
      <c r="R101" s="632"/>
      <c r="S101" s="632"/>
      <c r="T101" s="632"/>
      <c r="U101" s="632"/>
      <c r="V101" s="632"/>
      <c r="W101" s="632"/>
      <c r="X101" s="632"/>
      <c r="Y101" s="632"/>
      <c r="Z101" s="632"/>
      <c r="AA101" s="632"/>
      <c r="AB101" s="632"/>
      <c r="AC101" s="632"/>
      <c r="AD101" s="632"/>
    </row>
    <row r="102" spans="1:30">
      <c r="A102" s="481"/>
      <c r="B102" s="481"/>
      <c r="C102" s="481"/>
      <c r="D102" s="481"/>
      <c r="E102" s="481"/>
      <c r="F102" s="481"/>
      <c r="G102" s="481"/>
      <c r="H102" s="481"/>
      <c r="I102" s="481"/>
      <c r="J102" s="481"/>
      <c r="K102" s="481"/>
      <c r="L102" s="481"/>
      <c r="M102" s="481"/>
      <c r="N102" s="632"/>
      <c r="O102" s="632"/>
      <c r="P102" s="632"/>
      <c r="Q102" s="632"/>
      <c r="R102" s="632"/>
      <c r="S102" s="632"/>
      <c r="T102" s="632"/>
      <c r="U102" s="632"/>
      <c r="V102" s="632"/>
      <c r="W102" s="632"/>
      <c r="X102" s="632"/>
      <c r="Y102" s="632"/>
      <c r="Z102" s="632"/>
      <c r="AA102" s="632"/>
      <c r="AB102" s="632"/>
      <c r="AC102" s="632"/>
      <c r="AD102" s="632"/>
    </row>
    <row r="103" spans="1:30">
      <c r="A103" s="481"/>
      <c r="B103" s="481"/>
      <c r="C103" s="481"/>
      <c r="D103" s="481"/>
      <c r="E103" s="481"/>
      <c r="F103" s="481"/>
      <c r="G103" s="481"/>
      <c r="H103" s="481"/>
      <c r="I103" s="481"/>
      <c r="J103" s="481"/>
      <c r="K103" s="481"/>
      <c r="L103" s="481"/>
      <c r="M103" s="481"/>
      <c r="N103" s="632"/>
      <c r="O103" s="632"/>
      <c r="P103" s="632"/>
      <c r="Q103" s="632"/>
      <c r="R103" s="632"/>
      <c r="S103" s="632"/>
      <c r="T103" s="632"/>
      <c r="U103" s="632"/>
      <c r="V103" s="632"/>
      <c r="W103" s="632"/>
      <c r="X103" s="632"/>
      <c r="Y103" s="632"/>
      <c r="Z103" s="632"/>
      <c r="AA103" s="632"/>
      <c r="AB103" s="632"/>
      <c r="AC103" s="632"/>
      <c r="AD103" s="632"/>
    </row>
    <row r="104" spans="1:30">
      <c r="A104" s="481"/>
      <c r="B104" s="481"/>
      <c r="C104" s="481"/>
      <c r="D104" s="481"/>
      <c r="E104" s="481"/>
      <c r="F104" s="481"/>
      <c r="G104" s="481"/>
      <c r="H104" s="481"/>
      <c r="I104" s="481"/>
      <c r="J104" s="481"/>
      <c r="K104" s="481"/>
      <c r="L104" s="481"/>
      <c r="M104" s="481"/>
      <c r="N104" s="632"/>
      <c r="O104" s="632"/>
      <c r="P104" s="632"/>
      <c r="Q104" s="632"/>
      <c r="R104" s="632"/>
      <c r="S104" s="632"/>
      <c r="T104" s="632"/>
      <c r="U104" s="632"/>
      <c r="V104" s="632"/>
      <c r="W104" s="632"/>
      <c r="X104" s="632"/>
      <c r="Y104" s="632"/>
      <c r="Z104" s="632"/>
      <c r="AA104" s="632"/>
      <c r="AB104" s="632"/>
      <c r="AC104" s="632"/>
      <c r="AD104" s="632"/>
    </row>
    <row r="105" spans="1:30">
      <c r="A105" s="481"/>
      <c r="B105" s="481"/>
      <c r="C105" s="481"/>
      <c r="D105" s="481"/>
      <c r="E105" s="481"/>
      <c r="F105" s="481"/>
      <c r="G105" s="481"/>
      <c r="H105" s="481"/>
      <c r="I105" s="481"/>
      <c r="J105" s="481"/>
      <c r="K105" s="481"/>
      <c r="L105" s="481"/>
      <c r="M105" s="481"/>
      <c r="N105" s="632"/>
      <c r="O105" s="632"/>
      <c r="P105" s="632"/>
      <c r="Q105" s="632"/>
      <c r="R105" s="632"/>
      <c r="S105" s="632"/>
      <c r="T105" s="632"/>
      <c r="U105" s="632"/>
      <c r="V105" s="632"/>
      <c r="W105" s="632"/>
      <c r="X105" s="632"/>
      <c r="Y105" s="632"/>
      <c r="Z105" s="632"/>
      <c r="AA105" s="632"/>
      <c r="AB105" s="632"/>
      <c r="AC105" s="632"/>
      <c r="AD105" s="632"/>
    </row>
    <row r="106" spans="1:30">
      <c r="A106" s="481"/>
      <c r="B106" s="481"/>
      <c r="C106" s="481"/>
      <c r="D106" s="481"/>
      <c r="E106" s="481"/>
      <c r="F106" s="481"/>
      <c r="G106" s="481"/>
      <c r="H106" s="481"/>
      <c r="I106" s="481"/>
      <c r="J106" s="481"/>
      <c r="K106" s="481"/>
      <c r="L106" s="481"/>
      <c r="M106" s="481"/>
      <c r="N106" s="632"/>
      <c r="O106" s="632"/>
      <c r="P106" s="632"/>
      <c r="Q106" s="632"/>
      <c r="R106" s="632"/>
      <c r="S106" s="632"/>
      <c r="T106" s="632"/>
      <c r="U106" s="632"/>
      <c r="V106" s="632"/>
      <c r="W106" s="632"/>
      <c r="X106" s="632"/>
      <c r="Y106" s="632"/>
      <c r="Z106" s="632"/>
      <c r="AA106" s="632"/>
      <c r="AB106" s="632"/>
      <c r="AC106" s="632"/>
      <c r="AD106" s="632"/>
    </row>
    <row r="107" spans="1:30">
      <c r="A107" s="481"/>
      <c r="B107" s="481"/>
      <c r="C107" s="481"/>
      <c r="D107" s="481"/>
      <c r="E107" s="481"/>
      <c r="F107" s="481"/>
      <c r="G107" s="481"/>
      <c r="H107" s="481"/>
      <c r="I107" s="481"/>
      <c r="J107" s="481"/>
      <c r="K107" s="481"/>
      <c r="L107" s="481"/>
      <c r="M107" s="481"/>
      <c r="N107" s="632"/>
      <c r="O107" s="632"/>
      <c r="P107" s="632"/>
      <c r="Q107" s="632"/>
      <c r="R107" s="632"/>
      <c r="S107" s="632"/>
      <c r="T107" s="632"/>
      <c r="U107" s="632"/>
      <c r="V107" s="632"/>
      <c r="W107" s="632"/>
      <c r="X107" s="632"/>
      <c r="Y107" s="632"/>
      <c r="Z107" s="632"/>
      <c r="AA107" s="632"/>
      <c r="AB107" s="632"/>
      <c r="AC107" s="632"/>
      <c r="AD107" s="632"/>
    </row>
    <row r="108" spans="1:30">
      <c r="A108" s="481"/>
      <c r="B108" s="481"/>
      <c r="C108" s="481"/>
      <c r="D108" s="481"/>
      <c r="E108" s="481"/>
      <c r="F108" s="481"/>
      <c r="G108" s="481"/>
      <c r="H108" s="481"/>
      <c r="I108" s="481"/>
      <c r="J108" s="481"/>
      <c r="K108" s="481"/>
      <c r="L108" s="481"/>
      <c r="M108" s="481"/>
      <c r="N108" s="632"/>
      <c r="O108" s="632"/>
      <c r="P108" s="632"/>
      <c r="Q108" s="632"/>
      <c r="R108" s="632"/>
      <c r="S108" s="632"/>
      <c r="T108" s="632"/>
      <c r="U108" s="632"/>
      <c r="V108" s="632"/>
      <c r="W108" s="632"/>
      <c r="X108" s="632"/>
      <c r="Y108" s="632"/>
      <c r="Z108" s="632"/>
      <c r="AA108" s="632"/>
      <c r="AB108" s="632"/>
      <c r="AC108" s="632"/>
      <c r="AD108" s="632"/>
    </row>
    <row r="109" spans="1:30">
      <c r="A109" s="481"/>
      <c r="B109" s="481"/>
      <c r="C109" s="481"/>
      <c r="D109" s="481"/>
      <c r="E109" s="481"/>
      <c r="F109" s="481"/>
      <c r="G109" s="481"/>
      <c r="H109" s="481"/>
      <c r="I109" s="481"/>
      <c r="J109" s="481"/>
      <c r="K109" s="481"/>
      <c r="L109" s="481"/>
      <c r="M109" s="481"/>
      <c r="N109" s="632"/>
      <c r="O109" s="632"/>
      <c r="P109" s="632"/>
      <c r="Q109" s="632"/>
      <c r="R109" s="632"/>
      <c r="S109" s="632"/>
      <c r="T109" s="632"/>
      <c r="U109" s="632"/>
      <c r="V109" s="632"/>
      <c r="W109" s="632"/>
      <c r="X109" s="632"/>
      <c r="Y109" s="632"/>
      <c r="Z109" s="632"/>
      <c r="AA109" s="632"/>
      <c r="AB109" s="632"/>
      <c r="AC109" s="632"/>
      <c r="AD109" s="632"/>
    </row>
    <row r="110" spans="1:30">
      <c r="A110" s="481"/>
      <c r="B110" s="481"/>
      <c r="C110" s="481"/>
      <c r="D110" s="481"/>
      <c r="E110" s="481"/>
      <c r="F110" s="481"/>
      <c r="G110" s="481"/>
      <c r="H110" s="481"/>
      <c r="I110" s="481"/>
      <c r="J110" s="481"/>
      <c r="K110" s="481"/>
      <c r="L110" s="481"/>
      <c r="M110" s="481"/>
      <c r="N110" s="632"/>
      <c r="O110" s="632"/>
      <c r="P110" s="632"/>
      <c r="Q110" s="632"/>
      <c r="R110" s="632"/>
      <c r="S110" s="632"/>
      <c r="T110" s="632"/>
      <c r="U110" s="632"/>
      <c r="V110" s="632"/>
      <c r="W110" s="632"/>
      <c r="X110" s="632"/>
      <c r="Y110" s="632"/>
      <c r="Z110" s="632"/>
      <c r="AA110" s="632"/>
      <c r="AB110" s="632"/>
      <c r="AC110" s="632"/>
      <c r="AD110" s="632"/>
    </row>
    <row r="111" spans="1:30">
      <c r="A111" s="481"/>
      <c r="B111" s="481"/>
      <c r="C111" s="481"/>
      <c r="D111" s="481"/>
      <c r="E111" s="481"/>
      <c r="F111" s="481"/>
      <c r="G111" s="481"/>
      <c r="H111" s="481"/>
      <c r="I111" s="481"/>
      <c r="J111" s="481"/>
      <c r="K111" s="481"/>
      <c r="L111" s="481"/>
      <c r="M111" s="481"/>
      <c r="N111" s="632"/>
      <c r="O111" s="632"/>
      <c r="P111" s="632"/>
      <c r="Q111" s="632"/>
      <c r="R111" s="632"/>
      <c r="S111" s="632"/>
      <c r="T111" s="632"/>
      <c r="U111" s="632"/>
      <c r="V111" s="632"/>
      <c r="W111" s="632"/>
      <c r="X111" s="632"/>
      <c r="Y111" s="632"/>
      <c r="Z111" s="632"/>
      <c r="AA111" s="632"/>
      <c r="AB111" s="632"/>
      <c r="AC111" s="632"/>
      <c r="AD111" s="632"/>
    </row>
    <row r="112" spans="1:30">
      <c r="A112" s="481"/>
      <c r="B112" s="481"/>
      <c r="C112" s="481"/>
      <c r="D112" s="481"/>
      <c r="E112" s="481"/>
      <c r="F112" s="481"/>
      <c r="G112" s="481"/>
      <c r="H112" s="481"/>
      <c r="I112" s="481"/>
      <c r="J112" s="481"/>
      <c r="K112" s="481"/>
      <c r="L112" s="481"/>
      <c r="M112" s="481"/>
      <c r="N112" s="632"/>
      <c r="O112" s="632"/>
      <c r="P112" s="632"/>
      <c r="Q112" s="632"/>
      <c r="R112" s="632"/>
      <c r="S112" s="632"/>
      <c r="T112" s="632"/>
      <c r="U112" s="632"/>
      <c r="V112" s="632"/>
      <c r="W112" s="632"/>
      <c r="X112" s="632"/>
      <c r="Y112" s="632"/>
      <c r="Z112" s="632"/>
      <c r="AA112" s="632"/>
      <c r="AB112" s="632"/>
      <c r="AC112" s="632"/>
      <c r="AD112" s="632"/>
    </row>
    <row r="113" spans="1:30">
      <c r="A113" s="481"/>
      <c r="B113" s="481"/>
      <c r="C113" s="481"/>
      <c r="D113" s="481"/>
      <c r="E113" s="481"/>
      <c r="F113" s="481"/>
      <c r="G113" s="481"/>
      <c r="H113" s="481"/>
      <c r="I113" s="481"/>
      <c r="J113" s="481"/>
      <c r="K113" s="481"/>
      <c r="L113" s="481"/>
      <c r="M113" s="481"/>
      <c r="N113" s="632"/>
      <c r="O113" s="632"/>
      <c r="P113" s="632"/>
      <c r="Q113" s="632"/>
      <c r="R113" s="632"/>
      <c r="S113" s="632"/>
      <c r="T113" s="632"/>
      <c r="U113" s="632"/>
      <c r="V113" s="632"/>
      <c r="W113" s="632"/>
      <c r="X113" s="632"/>
      <c r="Y113" s="632"/>
      <c r="Z113" s="632"/>
      <c r="AA113" s="632"/>
      <c r="AB113" s="632"/>
      <c r="AC113" s="632"/>
      <c r="AD113" s="632"/>
    </row>
    <row r="114" spans="1:30">
      <c r="A114" s="481"/>
      <c r="B114" s="481"/>
      <c r="C114" s="481"/>
      <c r="D114" s="481"/>
      <c r="E114" s="481"/>
      <c r="F114" s="481"/>
      <c r="G114" s="481"/>
      <c r="H114" s="481"/>
      <c r="I114" s="481"/>
      <c r="J114" s="481"/>
      <c r="K114" s="481"/>
      <c r="L114" s="481"/>
      <c r="M114" s="481"/>
      <c r="N114" s="632"/>
      <c r="O114" s="632"/>
      <c r="P114" s="632"/>
      <c r="Q114" s="632"/>
      <c r="R114" s="632"/>
      <c r="S114" s="632"/>
      <c r="T114" s="632"/>
      <c r="U114" s="632"/>
      <c r="V114" s="632"/>
      <c r="W114" s="632"/>
      <c r="X114" s="632"/>
      <c r="Y114" s="632"/>
      <c r="Z114" s="632"/>
      <c r="AA114" s="632"/>
      <c r="AB114" s="632"/>
      <c r="AC114" s="632"/>
      <c r="AD114" s="632"/>
    </row>
    <row r="115" spans="1:30">
      <c r="A115" s="481"/>
      <c r="B115" s="481"/>
      <c r="C115" s="481"/>
      <c r="D115" s="481"/>
      <c r="E115" s="481"/>
      <c r="F115" s="481"/>
      <c r="G115" s="481"/>
      <c r="H115" s="481"/>
      <c r="I115" s="481"/>
      <c r="J115" s="481"/>
      <c r="K115" s="481"/>
      <c r="L115" s="481"/>
      <c r="M115" s="481"/>
      <c r="N115" s="632"/>
      <c r="O115" s="632"/>
      <c r="P115" s="632"/>
      <c r="Q115" s="632"/>
      <c r="R115" s="632"/>
      <c r="S115" s="632"/>
      <c r="T115" s="632"/>
      <c r="U115" s="632"/>
      <c r="V115" s="632"/>
      <c r="W115" s="632"/>
      <c r="X115" s="632"/>
      <c r="Y115" s="632"/>
      <c r="Z115" s="632"/>
      <c r="AA115" s="632"/>
      <c r="AB115" s="632"/>
      <c r="AC115" s="632"/>
      <c r="AD115" s="632"/>
    </row>
    <row r="116" spans="1:30">
      <c r="A116" s="481"/>
      <c r="B116" s="481"/>
      <c r="C116" s="481"/>
      <c r="D116" s="481"/>
      <c r="E116" s="481"/>
      <c r="F116" s="481"/>
      <c r="G116" s="481"/>
      <c r="H116" s="481"/>
      <c r="I116" s="481"/>
      <c r="J116" s="481"/>
      <c r="K116" s="481"/>
      <c r="L116" s="481"/>
      <c r="M116" s="481"/>
      <c r="N116" s="632"/>
      <c r="O116" s="632"/>
      <c r="P116" s="632"/>
      <c r="Q116" s="632"/>
      <c r="R116" s="632"/>
      <c r="S116" s="632"/>
      <c r="T116" s="632"/>
      <c r="U116" s="632"/>
      <c r="V116" s="632"/>
      <c r="W116" s="632"/>
      <c r="X116" s="632"/>
      <c r="Y116" s="632"/>
      <c r="Z116" s="632"/>
      <c r="AA116" s="632"/>
      <c r="AB116" s="632"/>
      <c r="AC116" s="632"/>
      <c r="AD116" s="632"/>
    </row>
    <row r="117" spans="1:30">
      <c r="A117" s="481"/>
      <c r="B117" s="481"/>
      <c r="C117" s="481"/>
      <c r="D117" s="481"/>
      <c r="E117" s="481"/>
      <c r="F117" s="481"/>
      <c r="G117" s="481"/>
      <c r="H117" s="481"/>
      <c r="I117" s="481"/>
      <c r="J117" s="481"/>
      <c r="K117" s="481"/>
      <c r="L117" s="481"/>
      <c r="M117" s="481"/>
      <c r="N117" s="632"/>
      <c r="O117" s="632"/>
      <c r="P117" s="632"/>
      <c r="Q117" s="632"/>
      <c r="R117" s="632"/>
      <c r="S117" s="632"/>
      <c r="T117" s="632"/>
      <c r="U117" s="632"/>
      <c r="V117" s="632"/>
      <c r="W117" s="632"/>
      <c r="X117" s="632"/>
      <c r="Y117" s="632"/>
      <c r="Z117" s="632"/>
      <c r="AA117" s="632"/>
      <c r="AB117" s="632"/>
      <c r="AC117" s="632"/>
      <c r="AD117" s="632"/>
    </row>
    <row r="118" spans="1:30">
      <c r="A118" s="481"/>
      <c r="B118" s="481"/>
      <c r="C118" s="481"/>
      <c r="D118" s="481"/>
      <c r="E118" s="481"/>
      <c r="F118" s="481"/>
      <c r="G118" s="481"/>
      <c r="H118" s="481"/>
      <c r="I118" s="481"/>
      <c r="J118" s="481"/>
      <c r="K118" s="481"/>
      <c r="L118" s="481"/>
      <c r="M118" s="481"/>
      <c r="N118" s="632"/>
      <c r="O118" s="632"/>
      <c r="P118" s="632"/>
      <c r="Q118" s="632"/>
      <c r="R118" s="632"/>
      <c r="S118" s="632"/>
      <c r="T118" s="632"/>
      <c r="U118" s="632"/>
      <c r="V118" s="632"/>
      <c r="W118" s="632"/>
      <c r="X118" s="632"/>
      <c r="Y118" s="632"/>
      <c r="Z118" s="632"/>
      <c r="AA118" s="632"/>
      <c r="AB118" s="632"/>
      <c r="AC118" s="632"/>
      <c r="AD118" s="632"/>
    </row>
    <row r="119" spans="1:30">
      <c r="A119" s="481"/>
      <c r="B119" s="481"/>
      <c r="C119" s="481"/>
      <c r="D119" s="481"/>
      <c r="E119" s="481"/>
      <c r="F119" s="481"/>
      <c r="G119" s="481"/>
      <c r="H119" s="481"/>
      <c r="I119" s="481"/>
      <c r="J119" s="481"/>
      <c r="K119" s="481"/>
      <c r="L119" s="481"/>
      <c r="M119" s="481"/>
      <c r="N119" s="632"/>
      <c r="O119" s="632"/>
      <c r="P119" s="632"/>
      <c r="Q119" s="632"/>
      <c r="R119" s="632"/>
      <c r="S119" s="632"/>
      <c r="T119" s="632"/>
      <c r="U119" s="632"/>
      <c r="V119" s="632"/>
      <c r="W119" s="632"/>
      <c r="X119" s="632"/>
      <c r="Y119" s="632"/>
      <c r="Z119" s="632"/>
      <c r="AA119" s="632"/>
      <c r="AB119" s="632"/>
      <c r="AC119" s="632"/>
      <c r="AD119" s="632"/>
    </row>
    <row r="120" spans="1:30">
      <c r="A120" s="481"/>
      <c r="B120" s="481"/>
      <c r="C120" s="481"/>
      <c r="D120" s="481"/>
      <c r="E120" s="481"/>
      <c r="F120" s="481"/>
      <c r="G120" s="481"/>
      <c r="H120" s="481"/>
      <c r="I120" s="481"/>
      <c r="J120" s="481"/>
      <c r="K120" s="481"/>
      <c r="L120" s="481"/>
      <c r="M120" s="481"/>
      <c r="N120" s="632"/>
      <c r="O120" s="632"/>
      <c r="P120" s="632"/>
      <c r="Q120" s="632"/>
      <c r="R120" s="632"/>
      <c r="S120" s="632"/>
      <c r="T120" s="632"/>
      <c r="U120" s="632"/>
      <c r="V120" s="632"/>
      <c r="W120" s="632"/>
      <c r="X120" s="632"/>
      <c r="Y120" s="632"/>
      <c r="Z120" s="632"/>
      <c r="AA120" s="632"/>
      <c r="AB120" s="632"/>
      <c r="AC120" s="632"/>
      <c r="AD120" s="632"/>
    </row>
    <row r="121" spans="1:30">
      <c r="A121" s="481"/>
      <c r="B121" s="481"/>
      <c r="C121" s="481"/>
      <c r="D121" s="481"/>
      <c r="E121" s="481"/>
      <c r="F121" s="481"/>
      <c r="G121" s="481"/>
      <c r="H121" s="481"/>
      <c r="I121" s="481"/>
      <c r="J121" s="481"/>
      <c r="K121" s="481"/>
      <c r="L121" s="481"/>
      <c r="M121" s="481"/>
      <c r="N121" s="632"/>
      <c r="O121" s="632"/>
      <c r="P121" s="632"/>
      <c r="Q121" s="632"/>
      <c r="R121" s="632"/>
      <c r="S121" s="632"/>
      <c r="T121" s="632"/>
      <c r="U121" s="632"/>
      <c r="V121" s="632"/>
      <c r="W121" s="632"/>
      <c r="X121" s="632"/>
      <c r="Y121" s="632"/>
      <c r="Z121" s="632"/>
      <c r="AA121" s="632"/>
      <c r="AB121" s="632"/>
      <c r="AC121" s="632"/>
      <c r="AD121" s="632"/>
    </row>
    <row r="122" spans="1:30">
      <c r="A122" s="481"/>
      <c r="B122" s="481"/>
      <c r="C122" s="481"/>
      <c r="D122" s="481"/>
      <c r="E122" s="481"/>
      <c r="F122" s="481"/>
      <c r="G122" s="481"/>
      <c r="H122" s="481"/>
      <c r="I122" s="481"/>
      <c r="J122" s="481"/>
      <c r="K122" s="481"/>
      <c r="L122" s="481"/>
      <c r="M122" s="481"/>
      <c r="N122" s="632"/>
      <c r="O122" s="632"/>
      <c r="P122" s="632"/>
      <c r="Q122" s="632"/>
      <c r="R122" s="632"/>
      <c r="S122" s="632"/>
      <c r="T122" s="632"/>
      <c r="U122" s="632"/>
      <c r="V122" s="632"/>
      <c r="W122" s="632"/>
      <c r="X122" s="632"/>
      <c r="Y122" s="632"/>
      <c r="Z122" s="632"/>
      <c r="AA122" s="632"/>
      <c r="AB122" s="632"/>
      <c r="AC122" s="632"/>
      <c r="AD122" s="632"/>
    </row>
    <row r="123" spans="1:30">
      <c r="A123" s="481"/>
      <c r="B123" s="481"/>
      <c r="C123" s="481"/>
      <c r="D123" s="481"/>
      <c r="E123" s="481"/>
      <c r="F123" s="481"/>
      <c r="G123" s="481"/>
      <c r="H123" s="481"/>
      <c r="I123" s="481"/>
      <c r="J123" s="481"/>
      <c r="K123" s="481"/>
      <c r="L123" s="481"/>
      <c r="M123" s="481"/>
      <c r="N123" s="632"/>
      <c r="O123" s="632"/>
      <c r="P123" s="632"/>
      <c r="Q123" s="632"/>
      <c r="R123" s="632"/>
      <c r="S123" s="632"/>
      <c r="T123" s="632"/>
      <c r="U123" s="632"/>
      <c r="V123" s="632"/>
      <c r="W123" s="632"/>
      <c r="X123" s="632"/>
      <c r="Y123" s="632"/>
      <c r="Z123" s="632"/>
      <c r="AA123" s="632"/>
      <c r="AB123" s="632"/>
      <c r="AC123" s="632"/>
      <c r="AD123" s="632"/>
    </row>
    <row r="124" spans="1:30">
      <c r="A124" s="481"/>
      <c r="B124" s="481"/>
      <c r="C124" s="481"/>
      <c r="D124" s="481"/>
      <c r="E124" s="481"/>
      <c r="F124" s="481"/>
      <c r="G124" s="481"/>
      <c r="H124" s="481"/>
      <c r="I124" s="481"/>
      <c r="J124" s="481"/>
      <c r="K124" s="481"/>
      <c r="L124" s="481"/>
      <c r="M124" s="481"/>
      <c r="N124" s="632"/>
      <c r="O124" s="632"/>
      <c r="P124" s="632"/>
      <c r="Q124" s="632"/>
      <c r="R124" s="632"/>
      <c r="S124" s="632"/>
      <c r="T124" s="632"/>
      <c r="U124" s="632"/>
      <c r="V124" s="632"/>
      <c r="W124" s="632"/>
      <c r="X124" s="632"/>
      <c r="Y124" s="632"/>
      <c r="Z124" s="632"/>
      <c r="AA124" s="632"/>
      <c r="AB124" s="632"/>
      <c r="AC124" s="632"/>
      <c r="AD124" s="632"/>
    </row>
    <row r="125" spans="1:30">
      <c r="A125" s="481"/>
      <c r="B125" s="481"/>
      <c r="C125" s="481"/>
      <c r="D125" s="481"/>
      <c r="E125" s="481"/>
      <c r="F125" s="481"/>
      <c r="G125" s="481"/>
      <c r="H125" s="481"/>
      <c r="I125" s="481"/>
      <c r="J125" s="481"/>
      <c r="K125" s="481"/>
      <c r="L125" s="481"/>
      <c r="M125" s="481"/>
      <c r="N125" s="632"/>
      <c r="O125" s="632"/>
      <c r="P125" s="632"/>
      <c r="Q125" s="632"/>
      <c r="R125" s="632"/>
      <c r="S125" s="632"/>
      <c r="T125" s="632"/>
      <c r="U125" s="632"/>
      <c r="V125" s="632"/>
      <c r="W125" s="632"/>
      <c r="X125" s="632"/>
      <c r="Y125" s="632"/>
      <c r="Z125" s="632"/>
      <c r="AA125" s="632"/>
      <c r="AB125" s="632"/>
      <c r="AC125" s="632"/>
      <c r="AD125" s="632"/>
    </row>
    <row r="126" spans="1:30">
      <c r="A126" s="481"/>
      <c r="B126" s="481"/>
      <c r="C126" s="481"/>
      <c r="D126" s="481"/>
      <c r="E126" s="481"/>
      <c r="F126" s="481"/>
      <c r="G126" s="481"/>
      <c r="H126" s="481"/>
      <c r="I126" s="481"/>
      <c r="J126" s="481"/>
      <c r="K126" s="481"/>
      <c r="L126" s="481"/>
      <c r="M126" s="481"/>
      <c r="N126" s="632"/>
      <c r="O126" s="632"/>
      <c r="P126" s="632"/>
      <c r="Q126" s="632"/>
      <c r="R126" s="632"/>
      <c r="S126" s="632"/>
      <c r="T126" s="632"/>
      <c r="U126" s="632"/>
      <c r="V126" s="632"/>
      <c r="W126" s="632"/>
      <c r="X126" s="632"/>
      <c r="Y126" s="632"/>
      <c r="Z126" s="632"/>
      <c r="AA126" s="632"/>
      <c r="AB126" s="632"/>
      <c r="AC126" s="632"/>
      <c r="AD126" s="632"/>
    </row>
    <row r="127" spans="1:30">
      <c r="A127" s="481"/>
      <c r="B127" s="481"/>
      <c r="C127" s="481"/>
      <c r="D127" s="481"/>
      <c r="E127" s="481"/>
      <c r="F127" s="481"/>
      <c r="G127" s="481"/>
      <c r="H127" s="481"/>
      <c r="I127" s="481"/>
      <c r="J127" s="481"/>
      <c r="K127" s="481"/>
      <c r="L127" s="481"/>
      <c r="M127" s="481"/>
      <c r="N127" s="632"/>
      <c r="O127" s="632"/>
      <c r="P127" s="632"/>
      <c r="Q127" s="632"/>
      <c r="R127" s="632"/>
      <c r="S127" s="632"/>
      <c r="T127" s="632"/>
      <c r="U127" s="632"/>
      <c r="V127" s="632"/>
      <c r="W127" s="632"/>
      <c r="X127" s="632"/>
      <c r="Y127" s="632"/>
      <c r="Z127" s="632"/>
      <c r="AA127" s="632"/>
      <c r="AB127" s="632"/>
      <c r="AC127" s="632"/>
      <c r="AD127" s="632"/>
    </row>
    <row r="128" spans="1:30">
      <c r="A128" s="481"/>
      <c r="B128" s="481"/>
      <c r="C128" s="481"/>
      <c r="D128" s="481"/>
      <c r="E128" s="481"/>
      <c r="F128" s="481"/>
      <c r="G128" s="481"/>
      <c r="H128" s="481"/>
      <c r="I128" s="481"/>
      <c r="J128" s="481"/>
      <c r="K128" s="481"/>
      <c r="L128" s="481"/>
      <c r="M128" s="481"/>
      <c r="N128" s="632"/>
      <c r="O128" s="632"/>
      <c r="P128" s="632"/>
      <c r="Q128" s="632"/>
      <c r="R128" s="632"/>
      <c r="S128" s="632"/>
      <c r="T128" s="632"/>
      <c r="U128" s="632"/>
      <c r="V128" s="632"/>
      <c r="W128" s="632"/>
      <c r="X128" s="632"/>
      <c r="Y128" s="632"/>
      <c r="Z128" s="632"/>
      <c r="AA128" s="632"/>
      <c r="AB128" s="632"/>
      <c r="AC128" s="632"/>
      <c r="AD128" s="632"/>
    </row>
    <row r="129" spans="1:30">
      <c r="A129" s="481"/>
      <c r="B129" s="481"/>
      <c r="C129" s="481"/>
      <c r="D129" s="481"/>
      <c r="E129" s="481"/>
      <c r="F129" s="481"/>
      <c r="G129" s="481"/>
      <c r="H129" s="481"/>
      <c r="I129" s="481"/>
      <c r="J129" s="481"/>
      <c r="K129" s="481"/>
      <c r="L129" s="481"/>
      <c r="M129" s="481"/>
      <c r="N129" s="632"/>
      <c r="O129" s="632"/>
      <c r="P129" s="632"/>
      <c r="Q129" s="632"/>
      <c r="R129" s="632"/>
      <c r="S129" s="632"/>
      <c r="T129" s="632"/>
      <c r="U129" s="632"/>
      <c r="V129" s="632"/>
      <c r="W129" s="632"/>
      <c r="X129" s="632"/>
      <c r="Y129" s="632"/>
      <c r="Z129" s="632"/>
      <c r="AA129" s="632"/>
      <c r="AB129" s="632"/>
      <c r="AC129" s="632"/>
      <c r="AD129" s="632"/>
    </row>
    <row r="130" spans="1:30">
      <c r="A130" s="481"/>
      <c r="B130" s="481"/>
      <c r="C130" s="481"/>
      <c r="D130" s="481"/>
      <c r="E130" s="481"/>
      <c r="F130" s="481"/>
      <c r="G130" s="481"/>
      <c r="H130" s="481"/>
      <c r="I130" s="481"/>
      <c r="J130" s="481"/>
      <c r="K130" s="481"/>
      <c r="L130" s="481"/>
      <c r="M130" s="481"/>
      <c r="N130" s="632"/>
      <c r="O130" s="632"/>
      <c r="P130" s="632"/>
      <c r="Q130" s="632"/>
      <c r="R130" s="632"/>
      <c r="S130" s="632"/>
      <c r="T130" s="632"/>
      <c r="U130" s="632"/>
      <c r="V130" s="632"/>
      <c r="W130" s="632"/>
      <c r="X130" s="632"/>
      <c r="Y130" s="632"/>
      <c r="Z130" s="632"/>
      <c r="AA130" s="632"/>
      <c r="AB130" s="632"/>
      <c r="AC130" s="632"/>
      <c r="AD130" s="632"/>
    </row>
    <row r="131" spans="1:30">
      <c r="A131" s="481"/>
      <c r="B131" s="481"/>
      <c r="C131" s="481"/>
      <c r="D131" s="481"/>
      <c r="E131" s="481"/>
      <c r="F131" s="481"/>
      <c r="G131" s="481"/>
      <c r="H131" s="481"/>
      <c r="I131" s="481"/>
      <c r="J131" s="481"/>
      <c r="K131" s="481"/>
      <c r="L131" s="481"/>
      <c r="M131" s="481"/>
      <c r="N131" s="632"/>
      <c r="O131" s="632"/>
      <c r="P131" s="632"/>
      <c r="Q131" s="632"/>
      <c r="R131" s="632"/>
      <c r="S131" s="632"/>
      <c r="T131" s="632"/>
      <c r="U131" s="632"/>
      <c r="V131" s="632"/>
      <c r="W131" s="632"/>
      <c r="X131" s="632"/>
      <c r="Y131" s="632"/>
      <c r="Z131" s="632"/>
      <c r="AA131" s="632"/>
      <c r="AB131" s="632"/>
      <c r="AC131" s="632"/>
      <c r="AD131" s="632"/>
    </row>
    <row r="132" spans="1:30">
      <c r="A132" s="481"/>
      <c r="B132" s="481"/>
      <c r="C132" s="481"/>
      <c r="D132" s="481"/>
      <c r="E132" s="481"/>
      <c r="F132" s="481"/>
      <c r="G132" s="481"/>
      <c r="H132" s="481"/>
      <c r="I132" s="481"/>
      <c r="J132" s="481"/>
      <c r="K132" s="481"/>
      <c r="L132" s="481"/>
      <c r="M132" s="481"/>
      <c r="N132" s="632"/>
      <c r="O132" s="632"/>
      <c r="P132" s="632"/>
      <c r="Q132" s="632"/>
      <c r="R132" s="632"/>
      <c r="S132" s="632"/>
      <c r="T132" s="632"/>
      <c r="U132" s="632"/>
      <c r="V132" s="632"/>
      <c r="W132" s="632"/>
      <c r="X132" s="632"/>
      <c r="Y132" s="632"/>
      <c r="Z132" s="632"/>
      <c r="AA132" s="632"/>
      <c r="AB132" s="632"/>
      <c r="AC132" s="632"/>
      <c r="AD132" s="632"/>
    </row>
    <row r="133" spans="1:30">
      <c r="A133" s="481"/>
      <c r="B133" s="481"/>
      <c r="C133" s="481"/>
      <c r="D133" s="481"/>
      <c r="E133" s="481"/>
      <c r="F133" s="481"/>
      <c r="G133" s="481"/>
      <c r="H133" s="481"/>
      <c r="I133" s="481"/>
      <c r="J133" s="481"/>
      <c r="K133" s="481"/>
      <c r="L133" s="481"/>
      <c r="M133" s="481"/>
      <c r="N133" s="632"/>
      <c r="O133" s="632"/>
      <c r="P133" s="632"/>
      <c r="Q133" s="632"/>
      <c r="R133" s="632"/>
      <c r="S133" s="632"/>
      <c r="T133" s="632"/>
      <c r="U133" s="632"/>
      <c r="V133" s="632"/>
      <c r="W133" s="632"/>
      <c r="X133" s="632"/>
      <c r="Y133" s="632"/>
      <c r="Z133" s="632"/>
      <c r="AA133" s="632"/>
      <c r="AB133" s="632"/>
      <c r="AC133" s="632"/>
      <c r="AD133" s="632"/>
    </row>
    <row r="134" spans="1:30">
      <c r="A134" s="481"/>
      <c r="B134" s="481"/>
      <c r="C134" s="481"/>
      <c r="D134" s="481"/>
      <c r="E134" s="481"/>
      <c r="F134" s="481"/>
      <c r="G134" s="481"/>
      <c r="H134" s="481"/>
      <c r="I134" s="481"/>
      <c r="J134" s="481"/>
      <c r="K134" s="481"/>
      <c r="L134" s="481"/>
      <c r="M134" s="481"/>
      <c r="N134" s="632"/>
      <c r="O134" s="632"/>
      <c r="P134" s="632"/>
      <c r="Q134" s="632"/>
      <c r="R134" s="632"/>
      <c r="S134" s="632"/>
      <c r="T134" s="632"/>
      <c r="U134" s="632"/>
      <c r="V134" s="632"/>
      <c r="W134" s="632"/>
      <c r="X134" s="632"/>
      <c r="Y134" s="632"/>
      <c r="Z134" s="632"/>
      <c r="AA134" s="632"/>
      <c r="AB134" s="632"/>
      <c r="AC134" s="632"/>
      <c r="AD134" s="632"/>
    </row>
    <row r="135" spans="1:30">
      <c r="A135" s="481"/>
      <c r="B135" s="481"/>
      <c r="C135" s="481"/>
      <c r="D135" s="481"/>
      <c r="E135" s="481"/>
      <c r="F135" s="481"/>
      <c r="G135" s="481"/>
      <c r="H135" s="481"/>
      <c r="I135" s="481"/>
      <c r="J135" s="481"/>
      <c r="K135" s="481"/>
      <c r="L135" s="481"/>
      <c r="M135" s="481"/>
      <c r="N135" s="632"/>
      <c r="O135" s="632"/>
      <c r="P135" s="632"/>
      <c r="Q135" s="632"/>
      <c r="R135" s="632"/>
      <c r="S135" s="632"/>
      <c r="T135" s="632"/>
      <c r="U135" s="632"/>
      <c r="V135" s="632"/>
      <c r="W135" s="632"/>
      <c r="X135" s="632"/>
      <c r="Y135" s="632"/>
      <c r="Z135" s="632"/>
      <c r="AA135" s="632"/>
      <c r="AB135" s="632"/>
      <c r="AC135" s="632"/>
      <c r="AD135" s="632"/>
    </row>
    <row r="136" spans="1:30">
      <c r="A136" s="481"/>
      <c r="B136" s="481"/>
      <c r="C136" s="481"/>
      <c r="D136" s="481"/>
      <c r="E136" s="481"/>
      <c r="F136" s="481"/>
      <c r="G136" s="481"/>
      <c r="H136" s="481"/>
      <c r="I136" s="481"/>
      <c r="J136" s="481"/>
      <c r="K136" s="481"/>
      <c r="L136" s="481"/>
      <c r="M136" s="481"/>
      <c r="N136" s="632"/>
      <c r="O136" s="632"/>
      <c r="P136" s="632"/>
      <c r="Q136" s="632"/>
      <c r="R136" s="632"/>
      <c r="S136" s="632"/>
      <c r="T136" s="632"/>
      <c r="U136" s="632"/>
      <c r="V136" s="632"/>
      <c r="W136" s="632"/>
      <c r="X136" s="632"/>
      <c r="Y136" s="632"/>
      <c r="Z136" s="632"/>
      <c r="AA136" s="632"/>
      <c r="AB136" s="632"/>
      <c r="AC136" s="632"/>
      <c r="AD136" s="632"/>
    </row>
    <row r="137" spans="1:30">
      <c r="A137" s="481"/>
      <c r="B137" s="481"/>
      <c r="C137" s="481"/>
      <c r="D137" s="481"/>
      <c r="E137" s="481"/>
      <c r="F137" s="481"/>
      <c r="G137" s="481"/>
      <c r="H137" s="481"/>
      <c r="I137" s="481"/>
      <c r="J137" s="481"/>
      <c r="K137" s="481"/>
      <c r="L137" s="481"/>
      <c r="M137" s="481"/>
      <c r="N137" s="632"/>
      <c r="O137" s="632"/>
      <c r="P137" s="632"/>
      <c r="Q137" s="632"/>
      <c r="R137" s="632"/>
      <c r="S137" s="632"/>
      <c r="T137" s="632"/>
      <c r="U137" s="632"/>
      <c r="V137" s="632"/>
      <c r="W137" s="632"/>
      <c r="X137" s="632"/>
      <c r="Y137" s="632"/>
      <c r="Z137" s="632"/>
      <c r="AA137" s="632"/>
      <c r="AB137" s="632"/>
      <c r="AC137" s="632"/>
      <c r="AD137" s="632"/>
    </row>
    <row r="138" spans="1:30">
      <c r="A138" s="481"/>
      <c r="B138" s="481"/>
      <c r="C138" s="481"/>
      <c r="D138" s="481"/>
      <c r="E138" s="481"/>
      <c r="F138" s="481"/>
      <c r="G138" s="481"/>
      <c r="H138" s="481"/>
      <c r="I138" s="481"/>
      <c r="J138" s="481"/>
      <c r="K138" s="481"/>
      <c r="L138" s="481"/>
      <c r="M138" s="481"/>
      <c r="N138" s="632"/>
      <c r="O138" s="632"/>
      <c r="P138" s="632"/>
      <c r="Q138" s="632"/>
      <c r="R138" s="632"/>
      <c r="S138" s="632"/>
      <c r="T138" s="632"/>
      <c r="U138" s="632"/>
      <c r="V138" s="632"/>
      <c r="W138" s="632"/>
      <c r="X138" s="632"/>
      <c r="Y138" s="632"/>
      <c r="Z138" s="632"/>
      <c r="AA138" s="632"/>
      <c r="AB138" s="632"/>
      <c r="AC138" s="632"/>
      <c r="AD138" s="632"/>
    </row>
    <row r="139" spans="1:30">
      <c r="A139" s="481"/>
      <c r="B139" s="481"/>
      <c r="C139" s="481"/>
      <c r="D139" s="481"/>
      <c r="E139" s="481"/>
      <c r="F139" s="481"/>
      <c r="G139" s="481"/>
      <c r="H139" s="481"/>
      <c r="I139" s="481"/>
      <c r="J139" s="481"/>
      <c r="K139" s="481"/>
      <c r="L139" s="481"/>
      <c r="M139" s="481"/>
      <c r="N139" s="632"/>
      <c r="O139" s="632"/>
      <c r="P139" s="632"/>
      <c r="Q139" s="632"/>
      <c r="R139" s="632"/>
      <c r="S139" s="632"/>
      <c r="T139" s="632"/>
      <c r="U139" s="632"/>
      <c r="V139" s="632"/>
      <c r="W139" s="632"/>
      <c r="X139" s="632"/>
      <c r="Y139" s="632"/>
      <c r="Z139" s="632"/>
      <c r="AA139" s="632"/>
      <c r="AB139" s="632"/>
      <c r="AC139" s="632"/>
      <c r="AD139" s="632"/>
    </row>
    <row r="140" spans="1:30">
      <c r="A140" s="481"/>
      <c r="B140" s="481"/>
      <c r="C140" s="481"/>
      <c r="D140" s="481"/>
      <c r="E140" s="481"/>
      <c r="F140" s="481"/>
      <c r="G140" s="481"/>
      <c r="H140" s="481"/>
      <c r="I140" s="481"/>
      <c r="J140" s="481"/>
      <c r="K140" s="481"/>
      <c r="L140" s="481"/>
      <c r="M140" s="481"/>
      <c r="N140" s="632"/>
      <c r="O140" s="632"/>
      <c r="P140" s="632"/>
      <c r="Q140" s="632"/>
      <c r="R140" s="632"/>
      <c r="S140" s="632"/>
      <c r="T140" s="632"/>
      <c r="U140" s="632"/>
      <c r="V140" s="632"/>
      <c r="W140" s="632"/>
      <c r="X140" s="632"/>
      <c r="Y140" s="632"/>
      <c r="Z140" s="632"/>
      <c r="AA140" s="632"/>
      <c r="AB140" s="632"/>
      <c r="AC140" s="632"/>
      <c r="AD140" s="632"/>
    </row>
    <row r="141" spans="1:30">
      <c r="A141" s="481"/>
      <c r="B141" s="481"/>
      <c r="C141" s="481"/>
      <c r="D141" s="481"/>
      <c r="E141" s="481"/>
      <c r="F141" s="481"/>
      <c r="G141" s="481"/>
      <c r="H141" s="481"/>
      <c r="I141" s="481"/>
      <c r="J141" s="481"/>
      <c r="K141" s="481"/>
      <c r="L141" s="481"/>
      <c r="M141" s="481"/>
      <c r="N141" s="632"/>
      <c r="O141" s="632"/>
      <c r="P141" s="632"/>
      <c r="Q141" s="632"/>
      <c r="R141" s="632"/>
      <c r="S141" s="632"/>
      <c r="T141" s="632"/>
      <c r="U141" s="632"/>
      <c r="V141" s="632"/>
      <c r="W141" s="632"/>
      <c r="X141" s="632"/>
      <c r="Y141" s="632"/>
      <c r="Z141" s="632"/>
      <c r="AA141" s="632"/>
      <c r="AB141" s="632"/>
      <c r="AC141" s="632"/>
      <c r="AD141" s="632"/>
    </row>
    <row r="142" spans="1:30">
      <c r="A142" s="481"/>
      <c r="B142" s="481"/>
      <c r="C142" s="481"/>
      <c r="D142" s="481"/>
      <c r="E142" s="481"/>
      <c r="F142" s="481"/>
      <c r="G142" s="481"/>
      <c r="H142" s="481"/>
      <c r="I142" s="481"/>
      <c r="J142" s="481"/>
      <c r="K142" s="481"/>
      <c r="L142" s="481"/>
      <c r="M142" s="481"/>
      <c r="N142" s="632"/>
      <c r="O142" s="632"/>
      <c r="P142" s="632"/>
      <c r="Q142" s="632"/>
      <c r="R142" s="632"/>
      <c r="S142" s="632"/>
      <c r="T142" s="632"/>
      <c r="U142" s="632"/>
      <c r="V142" s="632"/>
      <c r="W142" s="632"/>
      <c r="X142" s="632"/>
      <c r="Y142" s="632"/>
      <c r="Z142" s="632"/>
      <c r="AA142" s="632"/>
      <c r="AB142" s="632"/>
      <c r="AC142" s="632"/>
      <c r="AD142" s="632"/>
    </row>
    <row r="143" spans="1:30">
      <c r="A143" s="481"/>
      <c r="B143" s="481"/>
      <c r="C143" s="481"/>
      <c r="D143" s="481"/>
      <c r="E143" s="481"/>
      <c r="F143" s="481"/>
      <c r="G143" s="481"/>
      <c r="H143" s="481"/>
      <c r="I143" s="481"/>
      <c r="J143" s="481"/>
      <c r="K143" s="481"/>
      <c r="L143" s="481"/>
      <c r="M143" s="481"/>
      <c r="N143" s="632"/>
      <c r="O143" s="632"/>
      <c r="P143" s="632"/>
      <c r="Q143" s="632"/>
      <c r="R143" s="632"/>
      <c r="S143" s="632"/>
      <c r="T143" s="632"/>
      <c r="U143" s="632"/>
      <c r="V143" s="632"/>
      <c r="W143" s="632"/>
      <c r="X143" s="632"/>
      <c r="Y143" s="632"/>
      <c r="Z143" s="632"/>
      <c r="AA143" s="632"/>
      <c r="AB143" s="632"/>
      <c r="AC143" s="632"/>
      <c r="AD143" s="632"/>
    </row>
    <row r="144" spans="1:30">
      <c r="A144" s="481"/>
      <c r="B144" s="481"/>
      <c r="C144" s="481"/>
      <c r="D144" s="481"/>
      <c r="E144" s="481"/>
      <c r="F144" s="481"/>
      <c r="G144" s="481"/>
      <c r="H144" s="481"/>
      <c r="I144" s="481"/>
      <c r="J144" s="481"/>
      <c r="K144" s="481"/>
      <c r="L144" s="481"/>
      <c r="M144" s="481"/>
      <c r="N144" s="632"/>
      <c r="O144" s="632"/>
      <c r="P144" s="632"/>
      <c r="Q144" s="632"/>
      <c r="R144" s="632"/>
      <c r="S144" s="632"/>
      <c r="T144" s="632"/>
      <c r="U144" s="632"/>
      <c r="V144" s="632"/>
      <c r="W144" s="632"/>
      <c r="X144" s="632"/>
      <c r="Y144" s="632"/>
      <c r="Z144" s="632"/>
      <c r="AA144" s="632"/>
      <c r="AB144" s="632"/>
      <c r="AC144" s="632"/>
      <c r="AD144" s="632"/>
    </row>
    <row r="145" spans="1:30">
      <c r="A145" s="481"/>
      <c r="B145" s="481"/>
      <c r="C145" s="481"/>
      <c r="D145" s="481"/>
      <c r="E145" s="481"/>
      <c r="F145" s="481"/>
      <c r="G145" s="481"/>
      <c r="H145" s="481"/>
      <c r="I145" s="481"/>
      <c r="J145" s="481"/>
      <c r="K145" s="481"/>
      <c r="L145" s="481"/>
      <c r="M145" s="481"/>
      <c r="N145" s="632"/>
      <c r="O145" s="632"/>
      <c r="P145" s="632"/>
      <c r="Q145" s="632"/>
      <c r="R145" s="632"/>
      <c r="S145" s="632"/>
      <c r="T145" s="632"/>
      <c r="U145" s="632"/>
      <c r="V145" s="632"/>
      <c r="W145" s="632"/>
      <c r="X145" s="632"/>
      <c r="Y145" s="632"/>
      <c r="Z145" s="632"/>
      <c r="AA145" s="632"/>
      <c r="AB145" s="632"/>
      <c r="AC145" s="632"/>
      <c r="AD145" s="632"/>
    </row>
    <row r="146" spans="1:30">
      <c r="A146" s="481"/>
      <c r="B146" s="481"/>
      <c r="C146" s="481"/>
      <c r="D146" s="481"/>
      <c r="E146" s="481"/>
      <c r="F146" s="481"/>
      <c r="G146" s="481"/>
      <c r="H146" s="481"/>
      <c r="I146" s="481"/>
      <c r="J146" s="481"/>
      <c r="K146" s="481"/>
      <c r="L146" s="481"/>
      <c r="M146" s="481"/>
      <c r="N146" s="632"/>
      <c r="O146" s="632"/>
      <c r="P146" s="632"/>
      <c r="Q146" s="632"/>
      <c r="R146" s="632"/>
      <c r="S146" s="632"/>
      <c r="T146" s="632"/>
      <c r="U146" s="632"/>
      <c r="V146" s="632"/>
      <c r="W146" s="632"/>
      <c r="X146" s="632"/>
      <c r="Y146" s="632"/>
      <c r="Z146" s="632"/>
      <c r="AA146" s="632"/>
      <c r="AB146" s="632"/>
      <c r="AC146" s="632"/>
      <c r="AD146" s="632"/>
    </row>
    <row r="147" spans="1:30">
      <c r="A147" s="481"/>
      <c r="B147" s="481"/>
      <c r="C147" s="481"/>
      <c r="D147" s="481"/>
      <c r="E147" s="481"/>
      <c r="F147" s="481"/>
      <c r="G147" s="481"/>
      <c r="H147" s="481"/>
      <c r="I147" s="481"/>
      <c r="J147" s="481"/>
      <c r="K147" s="481"/>
      <c r="L147" s="481"/>
      <c r="M147" s="481"/>
      <c r="N147" s="632"/>
      <c r="O147" s="632"/>
      <c r="P147" s="632"/>
      <c r="Q147" s="632"/>
      <c r="R147" s="632"/>
      <c r="S147" s="632"/>
      <c r="T147" s="632"/>
      <c r="U147" s="632"/>
      <c r="V147" s="632"/>
      <c r="W147" s="632"/>
      <c r="X147" s="632"/>
      <c r="Y147" s="632"/>
      <c r="Z147" s="632"/>
      <c r="AA147" s="632"/>
      <c r="AB147" s="632"/>
      <c r="AC147" s="632"/>
      <c r="AD147" s="632"/>
    </row>
    <row r="148" spans="1:30">
      <c r="A148" s="481"/>
      <c r="B148" s="481"/>
      <c r="C148" s="481"/>
      <c r="D148" s="481"/>
      <c r="E148" s="481"/>
      <c r="F148" s="481"/>
      <c r="G148" s="481"/>
      <c r="H148" s="481"/>
      <c r="I148" s="481"/>
      <c r="J148" s="481"/>
      <c r="K148" s="481"/>
      <c r="L148" s="481"/>
      <c r="M148" s="481"/>
      <c r="N148" s="632"/>
      <c r="O148" s="632"/>
      <c r="P148" s="632"/>
      <c r="Q148" s="632"/>
      <c r="R148" s="632"/>
      <c r="S148" s="632"/>
      <c r="T148" s="632"/>
      <c r="U148" s="632"/>
      <c r="V148" s="632"/>
      <c r="W148" s="632"/>
      <c r="X148" s="632"/>
      <c r="Y148" s="632"/>
      <c r="Z148" s="632"/>
      <c r="AA148" s="632"/>
      <c r="AB148" s="632"/>
      <c r="AC148" s="632"/>
      <c r="AD148" s="632"/>
    </row>
    <row r="149" spans="1:30">
      <c r="A149" s="481"/>
      <c r="B149" s="481"/>
      <c r="C149" s="481"/>
      <c r="D149" s="481"/>
      <c r="E149" s="481"/>
      <c r="F149" s="481"/>
      <c r="G149" s="481"/>
      <c r="H149" s="481"/>
      <c r="I149" s="481"/>
      <c r="J149" s="481"/>
      <c r="K149" s="481"/>
      <c r="L149" s="481"/>
      <c r="M149" s="481"/>
      <c r="N149" s="632"/>
      <c r="O149" s="632"/>
      <c r="P149" s="632"/>
      <c r="Q149" s="632"/>
      <c r="R149" s="632"/>
      <c r="S149" s="632"/>
      <c r="T149" s="632"/>
      <c r="U149" s="632"/>
      <c r="V149" s="632"/>
      <c r="W149" s="632"/>
      <c r="X149" s="632"/>
      <c r="Y149" s="632"/>
      <c r="Z149" s="632"/>
      <c r="AA149" s="632"/>
      <c r="AB149" s="632"/>
      <c r="AC149" s="632"/>
      <c r="AD149" s="632"/>
    </row>
    <row r="150" spans="1:30">
      <c r="A150" s="481"/>
      <c r="B150" s="481"/>
      <c r="C150" s="481"/>
      <c r="D150" s="481"/>
      <c r="E150" s="481"/>
      <c r="F150" s="481"/>
      <c r="G150" s="481"/>
      <c r="H150" s="481"/>
      <c r="I150" s="481"/>
      <c r="J150" s="481"/>
      <c r="K150" s="481"/>
      <c r="L150" s="481"/>
      <c r="M150" s="481"/>
      <c r="N150" s="632"/>
      <c r="O150" s="632"/>
      <c r="P150" s="632"/>
      <c r="Q150" s="632"/>
      <c r="R150" s="632"/>
      <c r="S150" s="632"/>
      <c r="T150" s="632"/>
      <c r="U150" s="632"/>
      <c r="V150" s="632"/>
      <c r="W150" s="632"/>
      <c r="X150" s="632"/>
      <c r="Y150" s="632"/>
      <c r="Z150" s="632"/>
      <c r="AA150" s="632"/>
      <c r="AB150" s="632"/>
      <c r="AC150" s="632"/>
      <c r="AD150" s="632"/>
    </row>
    <row r="151" spans="1:30">
      <c r="A151" s="481"/>
      <c r="B151" s="481"/>
      <c r="C151" s="481"/>
      <c r="D151" s="481"/>
      <c r="E151" s="481"/>
      <c r="F151" s="481"/>
      <c r="G151" s="481"/>
      <c r="H151" s="481"/>
      <c r="I151" s="481"/>
      <c r="J151" s="481"/>
      <c r="K151" s="481"/>
      <c r="L151" s="481"/>
      <c r="M151" s="481"/>
      <c r="N151" s="632"/>
      <c r="O151" s="632"/>
      <c r="P151" s="632"/>
      <c r="Q151" s="632"/>
      <c r="R151" s="632"/>
      <c r="S151" s="632"/>
      <c r="T151" s="632"/>
      <c r="U151" s="632"/>
      <c r="V151" s="632"/>
      <c r="W151" s="632"/>
      <c r="X151" s="632"/>
      <c r="Y151" s="632"/>
      <c r="Z151" s="632"/>
      <c r="AA151" s="632"/>
      <c r="AB151" s="632"/>
      <c r="AC151" s="632"/>
      <c r="AD151" s="632"/>
    </row>
    <row r="152" spans="1:30">
      <c r="A152" s="481"/>
      <c r="B152" s="481"/>
      <c r="C152" s="481"/>
      <c r="D152" s="481"/>
      <c r="E152" s="481"/>
      <c r="F152" s="481"/>
      <c r="G152" s="481"/>
      <c r="H152" s="481"/>
      <c r="I152" s="481"/>
      <c r="J152" s="481"/>
      <c r="K152" s="481"/>
      <c r="L152" s="481"/>
      <c r="M152" s="481"/>
      <c r="N152" s="632"/>
      <c r="O152" s="632"/>
      <c r="P152" s="632"/>
      <c r="Q152" s="632"/>
      <c r="R152" s="632"/>
      <c r="S152" s="632"/>
      <c r="T152" s="632"/>
      <c r="U152" s="632"/>
      <c r="V152" s="632"/>
      <c r="W152" s="632"/>
      <c r="X152" s="632"/>
      <c r="Y152" s="632"/>
      <c r="Z152" s="632"/>
      <c r="AA152" s="632"/>
      <c r="AB152" s="632"/>
      <c r="AC152" s="632"/>
      <c r="AD152" s="632"/>
    </row>
    <row r="153" spans="1:30">
      <c r="A153" s="481"/>
      <c r="B153" s="481"/>
      <c r="C153" s="481"/>
      <c r="D153" s="481"/>
      <c r="E153" s="481"/>
      <c r="F153" s="481"/>
      <c r="G153" s="481"/>
      <c r="H153" s="481"/>
      <c r="I153" s="481"/>
      <c r="J153" s="481"/>
      <c r="K153" s="481"/>
      <c r="L153" s="481"/>
      <c r="M153" s="481"/>
      <c r="N153" s="632"/>
      <c r="O153" s="632"/>
      <c r="P153" s="632"/>
      <c r="Q153" s="632"/>
      <c r="R153" s="632"/>
      <c r="S153" s="632"/>
      <c r="T153" s="632"/>
      <c r="U153" s="632"/>
      <c r="V153" s="632"/>
      <c r="W153" s="632"/>
      <c r="X153" s="632"/>
      <c r="Y153" s="632"/>
      <c r="Z153" s="632"/>
      <c r="AA153" s="632"/>
      <c r="AB153" s="632"/>
      <c r="AC153" s="632"/>
      <c r="AD153" s="632"/>
    </row>
    <row r="154" spans="1:30">
      <c r="A154" s="481"/>
      <c r="B154" s="481"/>
      <c r="C154" s="481"/>
      <c r="D154" s="481"/>
      <c r="E154" s="481"/>
      <c r="F154" s="481"/>
      <c r="G154" s="481"/>
      <c r="H154" s="481"/>
      <c r="I154" s="481"/>
      <c r="J154" s="481"/>
      <c r="K154" s="481"/>
      <c r="L154" s="481"/>
      <c r="M154" s="481"/>
      <c r="N154" s="632"/>
      <c r="O154" s="632"/>
      <c r="P154" s="632"/>
      <c r="Q154" s="632"/>
      <c r="R154" s="632"/>
      <c r="S154" s="632"/>
      <c r="T154" s="632"/>
      <c r="U154" s="632"/>
      <c r="V154" s="632"/>
      <c r="W154" s="632"/>
      <c r="X154" s="632"/>
      <c r="Y154" s="632"/>
      <c r="Z154" s="632"/>
      <c r="AA154" s="632"/>
      <c r="AB154" s="632"/>
      <c r="AC154" s="632"/>
      <c r="AD154" s="632"/>
    </row>
    <row r="155" spans="1:30">
      <c r="A155" s="481"/>
      <c r="B155" s="481"/>
      <c r="C155" s="481"/>
      <c r="D155" s="481"/>
      <c r="E155" s="481"/>
      <c r="F155" s="481"/>
      <c r="G155" s="481"/>
      <c r="H155" s="481"/>
      <c r="I155" s="481"/>
      <c r="J155" s="481"/>
      <c r="K155" s="481"/>
      <c r="L155" s="481"/>
      <c r="M155" s="481"/>
      <c r="N155" s="632"/>
      <c r="O155" s="632"/>
      <c r="P155" s="632"/>
      <c r="Q155" s="632"/>
      <c r="R155" s="632"/>
      <c r="S155" s="632"/>
      <c r="T155" s="632"/>
      <c r="U155" s="632"/>
      <c r="V155" s="632"/>
      <c r="W155" s="632"/>
      <c r="X155" s="632"/>
      <c r="Y155" s="632"/>
      <c r="Z155" s="632"/>
      <c r="AA155" s="632"/>
      <c r="AB155" s="632"/>
      <c r="AC155" s="632"/>
      <c r="AD155" s="632"/>
    </row>
    <row r="156" spans="1:30">
      <c r="A156" s="481"/>
      <c r="B156" s="481"/>
      <c r="C156" s="481"/>
      <c r="D156" s="481"/>
      <c r="E156" s="481"/>
      <c r="F156" s="481"/>
      <c r="G156" s="481"/>
      <c r="H156" s="481"/>
      <c r="I156" s="481"/>
      <c r="J156" s="481"/>
      <c r="K156" s="481"/>
      <c r="L156" s="481"/>
      <c r="M156" s="481"/>
      <c r="N156" s="632"/>
      <c r="O156" s="632"/>
      <c r="P156" s="632"/>
      <c r="Q156" s="632"/>
      <c r="R156" s="632"/>
      <c r="S156" s="632"/>
      <c r="T156" s="632"/>
      <c r="U156" s="632"/>
      <c r="V156" s="632"/>
      <c r="W156" s="632"/>
      <c r="X156" s="632"/>
      <c r="Y156" s="632"/>
      <c r="Z156" s="632"/>
      <c r="AA156" s="632"/>
      <c r="AB156" s="632"/>
      <c r="AC156" s="632"/>
      <c r="AD156" s="632"/>
    </row>
    <row r="157" spans="1:30">
      <c r="A157" s="481"/>
      <c r="B157" s="481"/>
      <c r="C157" s="481"/>
      <c r="D157" s="481"/>
      <c r="E157" s="481"/>
      <c r="F157" s="481"/>
      <c r="G157" s="481"/>
      <c r="H157" s="481"/>
      <c r="I157" s="481"/>
      <c r="J157" s="481"/>
      <c r="K157" s="481"/>
      <c r="L157" s="481"/>
      <c r="M157" s="481"/>
      <c r="N157" s="632"/>
      <c r="O157" s="632"/>
      <c r="P157" s="632"/>
      <c r="Q157" s="632"/>
      <c r="R157" s="632"/>
      <c r="S157" s="632"/>
      <c r="T157" s="632"/>
      <c r="U157" s="632"/>
      <c r="V157" s="632"/>
      <c r="W157" s="632"/>
      <c r="X157" s="632"/>
      <c r="Y157" s="632"/>
      <c r="Z157" s="632"/>
      <c r="AA157" s="632"/>
      <c r="AB157" s="632"/>
      <c r="AC157" s="632"/>
      <c r="AD157" s="632"/>
    </row>
    <row r="158" spans="1:30">
      <c r="A158" s="481"/>
      <c r="B158" s="481"/>
      <c r="C158" s="481"/>
      <c r="D158" s="481"/>
      <c r="E158" s="481"/>
      <c r="F158" s="481"/>
      <c r="G158" s="481"/>
      <c r="H158" s="481"/>
      <c r="I158" s="481"/>
      <c r="J158" s="481"/>
      <c r="K158" s="481"/>
      <c r="L158" s="481"/>
      <c r="M158" s="481"/>
      <c r="N158" s="632"/>
      <c r="O158" s="632"/>
      <c r="P158" s="632"/>
      <c r="Q158" s="632"/>
      <c r="R158" s="632"/>
      <c r="S158" s="632"/>
      <c r="T158" s="632"/>
      <c r="U158" s="632"/>
      <c r="V158" s="632"/>
      <c r="W158" s="632"/>
      <c r="X158" s="632"/>
      <c r="Y158" s="632"/>
      <c r="Z158" s="632"/>
      <c r="AA158" s="632"/>
      <c r="AB158" s="632"/>
      <c r="AC158" s="632"/>
      <c r="AD158" s="632"/>
    </row>
    <row r="159" spans="1:30">
      <c r="A159" s="481"/>
      <c r="B159" s="481"/>
      <c r="C159" s="481"/>
      <c r="D159" s="481"/>
      <c r="E159" s="481"/>
      <c r="F159" s="481"/>
      <c r="G159" s="481"/>
      <c r="H159" s="481"/>
      <c r="I159" s="481"/>
      <c r="J159" s="481"/>
      <c r="K159" s="481"/>
      <c r="L159" s="481"/>
      <c r="M159" s="481"/>
      <c r="N159" s="632"/>
      <c r="O159" s="632"/>
      <c r="P159" s="632"/>
      <c r="Q159" s="632"/>
      <c r="R159" s="632"/>
      <c r="S159" s="632"/>
      <c r="T159" s="632"/>
      <c r="U159" s="632"/>
      <c r="V159" s="632"/>
      <c r="W159" s="632"/>
      <c r="X159" s="632"/>
      <c r="Y159" s="632"/>
      <c r="Z159" s="632"/>
      <c r="AA159" s="632"/>
      <c r="AB159" s="632"/>
      <c r="AC159" s="632"/>
      <c r="AD159" s="632"/>
    </row>
    <row r="160" spans="1:30">
      <c r="A160" s="481"/>
      <c r="B160" s="481"/>
      <c r="C160" s="481"/>
      <c r="D160" s="481"/>
      <c r="E160" s="481"/>
      <c r="F160" s="481"/>
      <c r="G160" s="481"/>
      <c r="H160" s="481"/>
      <c r="I160" s="481"/>
      <c r="J160" s="481"/>
      <c r="K160" s="481"/>
      <c r="L160" s="481"/>
      <c r="M160" s="481"/>
      <c r="N160" s="632"/>
      <c r="O160" s="632"/>
      <c r="P160" s="632"/>
      <c r="Q160" s="632"/>
      <c r="R160" s="632"/>
      <c r="S160" s="632"/>
      <c r="T160" s="632"/>
      <c r="U160" s="632"/>
      <c r="V160" s="632"/>
      <c r="W160" s="632"/>
      <c r="X160" s="632"/>
      <c r="Y160" s="632"/>
      <c r="Z160" s="632"/>
      <c r="AA160" s="632"/>
      <c r="AB160" s="632"/>
      <c r="AC160" s="632"/>
      <c r="AD160" s="632"/>
    </row>
    <row r="161" spans="1:30">
      <c r="A161" s="481"/>
      <c r="B161" s="481"/>
      <c r="C161" s="481"/>
      <c r="D161" s="481"/>
      <c r="E161" s="481"/>
      <c r="F161" s="481"/>
      <c r="G161" s="481"/>
      <c r="H161" s="481"/>
      <c r="I161" s="481"/>
      <c r="J161" s="481"/>
      <c r="K161" s="481"/>
      <c r="L161" s="481"/>
      <c r="M161" s="481"/>
      <c r="N161" s="632"/>
      <c r="O161" s="632"/>
      <c r="P161" s="632"/>
      <c r="Q161" s="632"/>
      <c r="R161" s="632"/>
      <c r="S161" s="632"/>
      <c r="T161" s="632"/>
      <c r="U161" s="632"/>
      <c r="V161" s="632"/>
      <c r="W161" s="632"/>
      <c r="X161" s="632"/>
      <c r="Y161" s="632"/>
      <c r="Z161" s="632"/>
      <c r="AA161" s="632"/>
      <c r="AB161" s="632"/>
      <c r="AC161" s="632"/>
      <c r="AD161" s="632"/>
    </row>
    <row r="162" spans="1:30">
      <c r="A162" s="481"/>
      <c r="B162" s="481"/>
      <c r="C162" s="481"/>
      <c r="D162" s="481"/>
      <c r="E162" s="481"/>
      <c r="F162" s="481"/>
      <c r="G162" s="481"/>
      <c r="H162" s="481"/>
      <c r="I162" s="481"/>
      <c r="J162" s="481"/>
      <c r="K162" s="481"/>
      <c r="L162" s="481"/>
      <c r="M162" s="481"/>
      <c r="N162" s="632"/>
      <c r="O162" s="632"/>
      <c r="P162" s="632"/>
      <c r="Q162" s="632"/>
      <c r="R162" s="632"/>
      <c r="S162" s="632"/>
      <c r="T162" s="632"/>
      <c r="U162" s="632"/>
      <c r="V162" s="632"/>
      <c r="W162" s="632"/>
      <c r="X162" s="632"/>
      <c r="Y162" s="632"/>
      <c r="Z162" s="632"/>
      <c r="AA162" s="632"/>
      <c r="AB162" s="632"/>
      <c r="AC162" s="632"/>
      <c r="AD162" s="632"/>
    </row>
    <row r="163" spans="1:30">
      <c r="A163" s="481"/>
      <c r="B163" s="481"/>
      <c r="C163" s="481"/>
      <c r="D163" s="481"/>
      <c r="E163" s="481"/>
      <c r="F163" s="481"/>
      <c r="G163" s="481"/>
      <c r="H163" s="481"/>
      <c r="I163" s="481"/>
      <c r="J163" s="481"/>
      <c r="K163" s="481"/>
      <c r="L163" s="481"/>
      <c r="M163" s="481"/>
      <c r="N163" s="632"/>
      <c r="O163" s="632"/>
      <c r="P163" s="632"/>
      <c r="Q163" s="632"/>
      <c r="R163" s="632"/>
      <c r="S163" s="632"/>
      <c r="T163" s="632"/>
      <c r="U163" s="632"/>
      <c r="V163" s="632"/>
      <c r="W163" s="632"/>
      <c r="X163" s="632"/>
      <c r="Y163" s="632"/>
      <c r="Z163" s="632"/>
      <c r="AA163" s="632"/>
      <c r="AB163" s="632"/>
      <c r="AC163" s="632"/>
      <c r="AD163" s="632"/>
    </row>
    <row r="164" spans="1:30">
      <c r="A164" s="481"/>
      <c r="B164" s="481"/>
      <c r="C164" s="481"/>
      <c r="D164" s="481"/>
      <c r="E164" s="481"/>
      <c r="F164" s="481"/>
      <c r="G164" s="481"/>
      <c r="H164" s="481"/>
      <c r="I164" s="481"/>
      <c r="J164" s="481"/>
      <c r="K164" s="481"/>
      <c r="L164" s="481"/>
      <c r="M164" s="481"/>
      <c r="N164" s="632"/>
      <c r="O164" s="632"/>
      <c r="P164" s="632"/>
      <c r="Q164" s="632"/>
      <c r="R164" s="632"/>
      <c r="S164" s="632"/>
      <c r="T164" s="632"/>
      <c r="U164" s="632"/>
      <c r="V164" s="632"/>
      <c r="W164" s="632"/>
      <c r="X164" s="632"/>
      <c r="Y164" s="632"/>
      <c r="Z164" s="632"/>
      <c r="AA164" s="632"/>
      <c r="AB164" s="632"/>
      <c r="AC164" s="632"/>
      <c r="AD164" s="632"/>
    </row>
    <row r="165" spans="1:30">
      <c r="A165" s="481"/>
      <c r="B165" s="481"/>
      <c r="C165" s="481"/>
      <c r="D165" s="481"/>
      <c r="E165" s="481"/>
      <c r="F165" s="481"/>
      <c r="G165" s="481"/>
      <c r="H165" s="481"/>
      <c r="I165" s="481"/>
      <c r="J165" s="481"/>
      <c r="K165" s="481"/>
      <c r="L165" s="481"/>
      <c r="M165" s="481"/>
      <c r="N165" s="632"/>
      <c r="O165" s="632"/>
      <c r="P165" s="632"/>
      <c r="Q165" s="632"/>
      <c r="R165" s="632"/>
      <c r="S165" s="632"/>
      <c r="T165" s="632"/>
      <c r="U165" s="632"/>
      <c r="V165" s="632"/>
      <c r="W165" s="632"/>
      <c r="X165" s="632"/>
      <c r="Y165" s="632"/>
      <c r="Z165" s="632"/>
      <c r="AA165" s="632"/>
      <c r="AB165" s="632"/>
      <c r="AC165" s="632"/>
      <c r="AD165" s="632"/>
    </row>
    <row r="166" spans="1:30">
      <c r="A166" s="481"/>
      <c r="B166" s="481"/>
      <c r="C166" s="481"/>
      <c r="D166" s="481"/>
      <c r="E166" s="481"/>
      <c r="F166" s="481"/>
      <c r="G166" s="481"/>
      <c r="H166" s="481"/>
      <c r="I166" s="481"/>
      <c r="J166" s="481"/>
      <c r="K166" s="481"/>
      <c r="L166" s="481"/>
      <c r="M166" s="481"/>
      <c r="N166" s="632"/>
      <c r="O166" s="632"/>
      <c r="P166" s="632"/>
      <c r="Q166" s="632"/>
      <c r="R166" s="632"/>
      <c r="S166" s="632"/>
      <c r="T166" s="632"/>
      <c r="U166" s="632"/>
      <c r="V166" s="632"/>
      <c r="W166" s="632"/>
      <c r="X166" s="632"/>
      <c r="Y166" s="632"/>
      <c r="Z166" s="632"/>
      <c r="AA166" s="632"/>
      <c r="AB166" s="632"/>
      <c r="AC166" s="632"/>
      <c r="AD166" s="632"/>
    </row>
    <row r="167" spans="1:30">
      <c r="A167" s="481"/>
      <c r="B167" s="481"/>
      <c r="C167" s="481"/>
      <c r="D167" s="481"/>
      <c r="E167" s="481"/>
      <c r="F167" s="481"/>
      <c r="G167" s="481"/>
      <c r="H167" s="481"/>
      <c r="I167" s="481"/>
      <c r="J167" s="481"/>
      <c r="K167" s="481"/>
      <c r="L167" s="481"/>
      <c r="M167" s="481"/>
      <c r="N167" s="632"/>
      <c r="O167" s="632"/>
      <c r="P167" s="632"/>
      <c r="Q167" s="632"/>
      <c r="R167" s="632"/>
      <c r="S167" s="632"/>
      <c r="T167" s="632"/>
      <c r="U167" s="632"/>
      <c r="V167" s="632"/>
      <c r="W167" s="632"/>
      <c r="X167" s="632"/>
      <c r="Y167" s="632"/>
      <c r="Z167" s="632"/>
      <c r="AA167" s="632"/>
      <c r="AB167" s="632"/>
      <c r="AC167" s="632"/>
      <c r="AD167" s="632"/>
    </row>
    <row r="168" spans="1:30">
      <c r="A168" s="481"/>
      <c r="B168" s="481"/>
      <c r="C168" s="481"/>
      <c r="D168" s="481"/>
      <c r="E168" s="481"/>
      <c r="F168" s="481"/>
      <c r="G168" s="481"/>
      <c r="H168" s="481"/>
      <c r="I168" s="481"/>
      <c r="J168" s="481"/>
      <c r="K168" s="481"/>
      <c r="L168" s="481"/>
      <c r="M168" s="481"/>
      <c r="N168" s="632"/>
      <c r="O168" s="632"/>
      <c r="P168" s="632"/>
      <c r="Q168" s="632"/>
      <c r="R168" s="632"/>
      <c r="S168" s="632"/>
      <c r="T168" s="632"/>
      <c r="U168" s="632"/>
      <c r="V168" s="632"/>
      <c r="W168" s="632"/>
      <c r="X168" s="632"/>
      <c r="Y168" s="632"/>
      <c r="Z168" s="632"/>
      <c r="AA168" s="632"/>
      <c r="AB168" s="632"/>
      <c r="AC168" s="632"/>
      <c r="AD168" s="632"/>
    </row>
    <row r="169" spans="1:30">
      <c r="A169" s="481"/>
      <c r="B169" s="481"/>
      <c r="C169" s="481"/>
      <c r="D169" s="481"/>
      <c r="E169" s="481"/>
      <c r="F169" s="481"/>
      <c r="G169" s="481"/>
      <c r="H169" s="481"/>
      <c r="I169" s="481"/>
      <c r="J169" s="481"/>
      <c r="K169" s="481"/>
      <c r="L169" s="481"/>
      <c r="M169" s="481"/>
      <c r="N169" s="632"/>
      <c r="O169" s="632"/>
      <c r="P169" s="632"/>
      <c r="Q169" s="632"/>
      <c r="R169" s="632"/>
      <c r="S169" s="632"/>
      <c r="T169" s="632"/>
      <c r="U169" s="632"/>
      <c r="V169" s="632"/>
      <c r="W169" s="632"/>
      <c r="X169" s="632"/>
      <c r="Y169" s="632"/>
      <c r="Z169" s="632"/>
      <c r="AA169" s="632"/>
      <c r="AB169" s="632"/>
      <c r="AC169" s="632"/>
      <c r="AD169" s="632"/>
    </row>
    <row r="170" spans="1:30">
      <c r="A170" s="481"/>
      <c r="B170" s="481"/>
      <c r="C170" s="481"/>
      <c r="D170" s="481"/>
      <c r="E170" s="481"/>
      <c r="F170" s="481"/>
      <c r="G170" s="481"/>
      <c r="H170" s="481"/>
      <c r="I170" s="481"/>
      <c r="J170" s="481"/>
      <c r="K170" s="481"/>
      <c r="L170" s="481"/>
      <c r="M170" s="481"/>
      <c r="N170" s="632"/>
      <c r="O170" s="632"/>
      <c r="P170" s="632"/>
      <c r="Q170" s="632"/>
      <c r="R170" s="632"/>
      <c r="S170" s="632"/>
      <c r="T170" s="632"/>
      <c r="U170" s="632"/>
      <c r="V170" s="632"/>
      <c r="W170" s="632"/>
      <c r="X170" s="632"/>
      <c r="Y170" s="632"/>
      <c r="Z170" s="632"/>
      <c r="AA170" s="632"/>
      <c r="AB170" s="632"/>
      <c r="AC170" s="632"/>
      <c r="AD170" s="632"/>
    </row>
    <row r="171" spans="1:30">
      <c r="A171" s="481"/>
      <c r="B171" s="481"/>
      <c r="C171" s="481"/>
      <c r="D171" s="481"/>
      <c r="E171" s="481"/>
      <c r="F171" s="481"/>
      <c r="G171" s="481"/>
      <c r="H171" s="481"/>
      <c r="I171" s="481"/>
      <c r="J171" s="481"/>
      <c r="K171" s="481"/>
      <c r="L171" s="481"/>
      <c r="M171" s="481"/>
      <c r="N171" s="632"/>
      <c r="O171" s="632"/>
      <c r="P171" s="632"/>
      <c r="Q171" s="632"/>
      <c r="R171" s="632"/>
      <c r="S171" s="632"/>
      <c r="T171" s="632"/>
      <c r="U171" s="632"/>
      <c r="V171" s="632"/>
      <c r="W171" s="632"/>
      <c r="X171" s="632"/>
      <c r="Y171" s="632"/>
      <c r="Z171" s="632"/>
      <c r="AA171" s="632"/>
      <c r="AB171" s="632"/>
      <c r="AC171" s="632"/>
      <c r="AD171" s="632"/>
    </row>
    <row r="172" spans="1:30">
      <c r="A172" s="481"/>
      <c r="B172" s="481"/>
      <c r="C172" s="481"/>
      <c r="D172" s="481"/>
      <c r="E172" s="481"/>
      <c r="F172" s="481"/>
      <c r="G172" s="481"/>
      <c r="H172" s="481"/>
      <c r="I172" s="481"/>
      <c r="J172" s="481"/>
      <c r="K172" s="481"/>
      <c r="L172" s="481"/>
      <c r="M172" s="481"/>
      <c r="N172" s="632"/>
      <c r="O172" s="632"/>
      <c r="P172" s="632"/>
      <c r="Q172" s="632"/>
      <c r="R172" s="632"/>
      <c r="S172" s="632"/>
      <c r="T172" s="632"/>
      <c r="U172" s="632"/>
      <c r="V172" s="632"/>
      <c r="W172" s="632"/>
      <c r="X172" s="632"/>
      <c r="Y172" s="632"/>
      <c r="Z172" s="632"/>
      <c r="AA172" s="632"/>
      <c r="AB172" s="632"/>
      <c r="AC172" s="632"/>
      <c r="AD172" s="632"/>
    </row>
    <row r="173" spans="1:30">
      <c r="A173" s="481"/>
      <c r="B173" s="481"/>
      <c r="C173" s="481"/>
      <c r="D173" s="481"/>
      <c r="E173" s="481"/>
      <c r="F173" s="481"/>
      <c r="G173" s="481"/>
      <c r="H173" s="481"/>
      <c r="I173" s="481"/>
      <c r="J173" s="481"/>
      <c r="K173" s="481"/>
      <c r="L173" s="481"/>
      <c r="M173" s="481"/>
      <c r="N173" s="632"/>
      <c r="O173" s="632"/>
      <c r="P173" s="632"/>
      <c r="Q173" s="632"/>
      <c r="R173" s="632"/>
      <c r="S173" s="632"/>
      <c r="T173" s="632"/>
      <c r="U173" s="632"/>
      <c r="V173" s="632"/>
      <c r="W173" s="632"/>
      <c r="X173" s="632"/>
      <c r="Y173" s="632"/>
      <c r="Z173" s="632"/>
      <c r="AA173" s="632"/>
      <c r="AB173" s="632"/>
      <c r="AC173" s="632"/>
      <c r="AD173" s="632"/>
    </row>
    <row r="174" spans="1:30">
      <c r="A174" s="481"/>
      <c r="B174" s="481"/>
      <c r="C174" s="481"/>
      <c r="D174" s="481"/>
      <c r="E174" s="481"/>
      <c r="F174" s="481"/>
      <c r="G174" s="481"/>
      <c r="H174" s="481"/>
      <c r="I174" s="481"/>
      <c r="J174" s="481"/>
      <c r="K174" s="481"/>
      <c r="L174" s="481"/>
      <c r="M174" s="481"/>
      <c r="N174" s="632"/>
      <c r="O174" s="632"/>
      <c r="P174" s="632"/>
      <c r="Q174" s="632"/>
      <c r="R174" s="632"/>
      <c r="S174" s="632"/>
      <c r="T174" s="632"/>
      <c r="U174" s="632"/>
      <c r="V174" s="632"/>
      <c r="W174" s="632"/>
      <c r="X174" s="632"/>
      <c r="Y174" s="632"/>
      <c r="Z174" s="632"/>
      <c r="AA174" s="632"/>
      <c r="AB174" s="632"/>
      <c r="AC174" s="632"/>
      <c r="AD174" s="632"/>
    </row>
    <row r="175" spans="1:30">
      <c r="A175" s="481"/>
      <c r="B175" s="481"/>
      <c r="C175" s="481"/>
      <c r="D175" s="481"/>
      <c r="E175" s="481"/>
      <c r="F175" s="481"/>
      <c r="G175" s="481"/>
      <c r="H175" s="481"/>
      <c r="I175" s="481"/>
      <c r="J175" s="481"/>
      <c r="K175" s="481"/>
      <c r="L175" s="481"/>
      <c r="M175" s="481"/>
      <c r="N175" s="632"/>
      <c r="O175" s="632"/>
      <c r="P175" s="632"/>
      <c r="Q175" s="632"/>
      <c r="R175" s="632"/>
      <c r="S175" s="632"/>
      <c r="T175" s="632"/>
      <c r="U175" s="632"/>
      <c r="V175" s="632"/>
      <c r="W175" s="632"/>
      <c r="X175" s="632"/>
      <c r="Y175" s="632"/>
      <c r="Z175" s="632"/>
      <c r="AA175" s="632"/>
      <c r="AB175" s="632"/>
      <c r="AC175" s="632"/>
      <c r="AD175" s="632"/>
    </row>
    <row r="176" spans="1:30">
      <c r="A176" s="481"/>
      <c r="B176" s="481"/>
      <c r="C176" s="481"/>
      <c r="D176" s="481"/>
      <c r="E176" s="481"/>
      <c r="F176" s="481"/>
      <c r="G176" s="481"/>
      <c r="H176" s="481"/>
      <c r="I176" s="481"/>
      <c r="J176" s="481"/>
      <c r="K176" s="481"/>
      <c r="L176" s="481"/>
      <c r="M176" s="481"/>
      <c r="N176" s="632"/>
      <c r="O176" s="632"/>
      <c r="P176" s="632"/>
      <c r="Q176" s="632"/>
      <c r="R176" s="632"/>
      <c r="S176" s="632"/>
      <c r="T176" s="632"/>
      <c r="U176" s="632"/>
      <c r="V176" s="632"/>
      <c r="W176" s="632"/>
      <c r="X176" s="632"/>
      <c r="Y176" s="632"/>
      <c r="Z176" s="632"/>
      <c r="AA176" s="632"/>
      <c r="AB176" s="632"/>
      <c r="AC176" s="632"/>
      <c r="AD176" s="632"/>
    </row>
    <row r="177" spans="1:30">
      <c r="A177" s="481"/>
      <c r="B177" s="481"/>
      <c r="C177" s="481"/>
      <c r="D177" s="481"/>
      <c r="E177" s="481"/>
      <c r="F177" s="481"/>
      <c r="G177" s="481"/>
      <c r="H177" s="481"/>
      <c r="I177" s="481"/>
      <c r="J177" s="481"/>
      <c r="K177" s="481"/>
      <c r="L177" s="481"/>
      <c r="M177" s="481"/>
      <c r="N177" s="632"/>
      <c r="O177" s="632"/>
      <c r="P177" s="632"/>
      <c r="Q177" s="632"/>
      <c r="R177" s="632"/>
      <c r="S177" s="632"/>
      <c r="T177" s="632"/>
      <c r="U177" s="632"/>
      <c r="V177" s="632"/>
      <c r="W177" s="632"/>
      <c r="X177" s="632"/>
      <c r="Y177" s="632"/>
      <c r="Z177" s="632"/>
      <c r="AA177" s="632"/>
      <c r="AB177" s="632"/>
      <c r="AC177" s="632"/>
      <c r="AD177" s="632"/>
    </row>
    <row r="178" spans="1:30">
      <c r="A178" s="481"/>
      <c r="B178" s="481"/>
      <c r="C178" s="481"/>
      <c r="D178" s="481"/>
      <c r="E178" s="481"/>
      <c r="F178" s="481"/>
      <c r="G178" s="481"/>
      <c r="H178" s="481"/>
      <c r="I178" s="481"/>
      <c r="J178" s="481"/>
      <c r="K178" s="481"/>
      <c r="L178" s="481"/>
      <c r="M178" s="481"/>
      <c r="N178" s="632"/>
      <c r="O178" s="632"/>
      <c r="P178" s="632"/>
      <c r="Q178" s="632"/>
      <c r="R178" s="632"/>
      <c r="S178" s="632"/>
      <c r="T178" s="632"/>
      <c r="U178" s="632"/>
      <c r="V178" s="632"/>
      <c r="W178" s="632"/>
      <c r="X178" s="632"/>
      <c r="Y178" s="632"/>
      <c r="Z178" s="632"/>
      <c r="AA178" s="632"/>
      <c r="AB178" s="632"/>
      <c r="AC178" s="632"/>
      <c r="AD178" s="632"/>
    </row>
    <row r="179" spans="1:30">
      <c r="A179" s="481"/>
      <c r="B179" s="481"/>
      <c r="C179" s="481"/>
      <c r="D179" s="481"/>
      <c r="E179" s="481"/>
      <c r="F179" s="481"/>
      <c r="G179" s="481"/>
      <c r="H179" s="481"/>
      <c r="I179" s="481"/>
      <c r="J179" s="481"/>
      <c r="K179" s="481"/>
      <c r="L179" s="481"/>
      <c r="M179" s="481"/>
      <c r="N179" s="632"/>
      <c r="O179" s="632"/>
      <c r="P179" s="632"/>
      <c r="Q179" s="632"/>
      <c r="R179" s="632"/>
      <c r="S179" s="632"/>
      <c r="T179" s="632"/>
      <c r="U179" s="632"/>
      <c r="V179" s="632"/>
      <c r="W179" s="632"/>
      <c r="X179" s="632"/>
      <c r="Y179" s="632"/>
      <c r="Z179" s="632"/>
      <c r="AA179" s="632"/>
      <c r="AB179" s="632"/>
      <c r="AC179" s="632"/>
      <c r="AD179" s="632"/>
    </row>
    <row r="180" spans="1:30">
      <c r="A180" s="481"/>
      <c r="B180" s="481"/>
      <c r="C180" s="481"/>
      <c r="D180" s="481"/>
      <c r="E180" s="481"/>
      <c r="F180" s="481"/>
      <c r="G180" s="481"/>
      <c r="H180" s="481"/>
      <c r="I180" s="481"/>
      <c r="J180" s="481"/>
      <c r="K180" s="481"/>
      <c r="L180" s="481"/>
      <c r="M180" s="481"/>
      <c r="N180" s="632"/>
      <c r="O180" s="632"/>
      <c r="P180" s="632"/>
      <c r="Q180" s="632"/>
      <c r="R180" s="632"/>
      <c r="S180" s="632"/>
      <c r="T180" s="632"/>
      <c r="U180" s="632"/>
      <c r="V180" s="632"/>
      <c r="W180" s="632"/>
      <c r="X180" s="632"/>
      <c r="Y180" s="632"/>
      <c r="Z180" s="632"/>
      <c r="AA180" s="632"/>
      <c r="AB180" s="632"/>
      <c r="AC180" s="632"/>
      <c r="AD180" s="632"/>
    </row>
    <row r="181" spans="1:30">
      <c r="A181" s="481"/>
      <c r="B181" s="481"/>
      <c r="C181" s="481"/>
      <c r="D181" s="481"/>
      <c r="E181" s="481"/>
      <c r="F181" s="481"/>
      <c r="G181" s="481"/>
      <c r="H181" s="481"/>
      <c r="I181" s="481"/>
      <c r="J181" s="481"/>
      <c r="K181" s="481"/>
      <c r="L181" s="481"/>
      <c r="M181" s="481"/>
      <c r="N181" s="632"/>
      <c r="O181" s="632"/>
      <c r="P181" s="632"/>
      <c r="Q181" s="632"/>
      <c r="R181" s="632"/>
      <c r="S181" s="632"/>
      <c r="T181" s="632"/>
      <c r="U181" s="632"/>
      <c r="V181" s="632"/>
      <c r="W181" s="632"/>
      <c r="X181" s="632"/>
      <c r="Y181" s="632"/>
      <c r="Z181" s="632"/>
      <c r="AA181" s="632"/>
      <c r="AB181" s="632"/>
      <c r="AC181" s="632"/>
      <c r="AD181" s="632"/>
    </row>
    <row r="182" spans="1:30">
      <c r="A182" s="481"/>
      <c r="B182" s="481"/>
      <c r="C182" s="481"/>
      <c r="D182" s="481"/>
      <c r="E182" s="481"/>
      <c r="F182" s="481"/>
      <c r="G182" s="481"/>
      <c r="H182" s="481"/>
      <c r="I182" s="481"/>
      <c r="J182" s="481"/>
      <c r="K182" s="481"/>
      <c r="L182" s="481"/>
      <c r="M182" s="481"/>
      <c r="N182" s="632"/>
      <c r="O182" s="632"/>
      <c r="P182" s="632"/>
      <c r="Q182" s="632"/>
      <c r="R182" s="632"/>
      <c r="S182" s="632"/>
      <c r="T182" s="632"/>
      <c r="U182" s="632"/>
      <c r="V182" s="632"/>
      <c r="W182" s="632"/>
      <c r="X182" s="632"/>
      <c r="Y182" s="632"/>
      <c r="Z182" s="632"/>
      <c r="AA182" s="632"/>
      <c r="AB182" s="632"/>
      <c r="AC182" s="632"/>
      <c r="AD182" s="632"/>
    </row>
    <row r="183" spans="1:30">
      <c r="A183" s="481"/>
      <c r="B183" s="481"/>
      <c r="C183" s="481"/>
      <c r="D183" s="481"/>
      <c r="E183" s="481"/>
      <c r="F183" s="481"/>
      <c r="G183" s="481"/>
      <c r="H183" s="481"/>
      <c r="I183" s="481"/>
      <c r="J183" s="481"/>
      <c r="K183" s="481"/>
      <c r="L183" s="481"/>
      <c r="M183" s="481"/>
      <c r="N183" s="632"/>
      <c r="O183" s="632"/>
      <c r="P183" s="632"/>
      <c r="Q183" s="632"/>
      <c r="R183" s="632"/>
      <c r="S183" s="632"/>
      <c r="T183" s="632"/>
      <c r="U183" s="632"/>
      <c r="V183" s="632"/>
      <c r="W183" s="632"/>
      <c r="X183" s="632"/>
      <c r="Y183" s="632"/>
      <c r="Z183" s="632"/>
      <c r="AA183" s="632"/>
      <c r="AB183" s="632"/>
      <c r="AC183" s="632"/>
      <c r="AD183" s="632"/>
    </row>
    <row r="184" spans="1:30">
      <c r="A184" s="481"/>
      <c r="B184" s="481"/>
      <c r="C184" s="481"/>
      <c r="D184" s="481"/>
      <c r="E184" s="481"/>
      <c r="F184" s="481"/>
      <c r="G184" s="481"/>
      <c r="H184" s="481"/>
      <c r="I184" s="481"/>
      <c r="J184" s="481"/>
      <c r="K184" s="481"/>
      <c r="L184" s="481"/>
      <c r="M184" s="481"/>
      <c r="N184" s="632"/>
      <c r="O184" s="632"/>
      <c r="P184" s="632"/>
      <c r="Q184" s="632"/>
      <c r="R184" s="632"/>
      <c r="S184" s="632"/>
      <c r="T184" s="632"/>
      <c r="U184" s="632"/>
      <c r="V184" s="632"/>
      <c r="W184" s="632"/>
      <c r="X184" s="632"/>
      <c r="Y184" s="632"/>
      <c r="Z184" s="632"/>
      <c r="AA184" s="632"/>
      <c r="AB184" s="632"/>
      <c r="AC184" s="632"/>
      <c r="AD184" s="632"/>
    </row>
    <row r="185" spans="1:30">
      <c r="A185" s="481"/>
      <c r="B185" s="481"/>
      <c r="C185" s="481"/>
      <c r="D185" s="481"/>
      <c r="E185" s="481"/>
      <c r="F185" s="481"/>
      <c r="G185" s="481"/>
      <c r="H185" s="481"/>
      <c r="I185" s="481"/>
      <c r="J185" s="481"/>
      <c r="K185" s="481"/>
      <c r="L185" s="481"/>
      <c r="M185" s="481"/>
      <c r="N185" s="632"/>
      <c r="O185" s="632"/>
      <c r="P185" s="632"/>
      <c r="Q185" s="632"/>
      <c r="R185" s="632"/>
      <c r="S185" s="632"/>
      <c r="T185" s="632"/>
      <c r="U185" s="632"/>
      <c r="V185" s="632"/>
      <c r="W185" s="632"/>
      <c r="X185" s="632"/>
      <c r="Y185" s="632"/>
      <c r="Z185" s="632"/>
      <c r="AA185" s="632"/>
      <c r="AB185" s="632"/>
      <c r="AC185" s="632"/>
      <c r="AD185" s="632"/>
    </row>
    <row r="186" spans="1:30">
      <c r="A186" s="481"/>
      <c r="B186" s="481"/>
      <c r="C186" s="481"/>
      <c r="D186" s="481"/>
      <c r="E186" s="481"/>
      <c r="F186" s="481"/>
      <c r="G186" s="481"/>
      <c r="H186" s="481"/>
      <c r="I186" s="481"/>
      <c r="J186" s="481"/>
      <c r="K186" s="481"/>
      <c r="L186" s="481"/>
      <c r="M186" s="481"/>
      <c r="N186" s="632"/>
      <c r="O186" s="632"/>
      <c r="P186" s="632"/>
      <c r="Q186" s="632"/>
      <c r="R186" s="632"/>
      <c r="S186" s="632"/>
      <c r="T186" s="632"/>
      <c r="U186" s="632"/>
      <c r="V186" s="632"/>
      <c r="W186" s="632"/>
      <c r="X186" s="632"/>
      <c r="Y186" s="632"/>
      <c r="Z186" s="632"/>
      <c r="AA186" s="632"/>
      <c r="AB186" s="632"/>
      <c r="AC186" s="632"/>
      <c r="AD186" s="632"/>
    </row>
    <row r="187" spans="1:30">
      <c r="A187" s="481"/>
      <c r="B187" s="481"/>
      <c r="C187" s="481"/>
      <c r="D187" s="481"/>
      <c r="E187" s="481"/>
      <c r="F187" s="481"/>
      <c r="G187" s="481"/>
      <c r="H187" s="481"/>
      <c r="I187" s="481"/>
      <c r="J187" s="481"/>
      <c r="K187" s="481"/>
      <c r="L187" s="481"/>
      <c r="M187" s="481"/>
      <c r="N187" s="632"/>
      <c r="O187" s="632"/>
      <c r="P187" s="632"/>
      <c r="Q187" s="632"/>
      <c r="R187" s="632"/>
      <c r="S187" s="632"/>
      <c r="T187" s="632"/>
      <c r="U187" s="632"/>
      <c r="V187" s="632"/>
      <c r="W187" s="632"/>
      <c r="X187" s="632"/>
      <c r="Y187" s="632"/>
      <c r="Z187" s="632"/>
      <c r="AA187" s="632"/>
      <c r="AB187" s="632"/>
      <c r="AC187" s="632"/>
      <c r="AD187" s="632"/>
    </row>
    <row r="188" spans="1:30">
      <c r="A188" s="481"/>
      <c r="B188" s="481"/>
      <c r="C188" s="481"/>
      <c r="D188" s="481"/>
      <c r="E188" s="481"/>
      <c r="F188" s="481"/>
      <c r="G188" s="481"/>
      <c r="H188" s="481"/>
      <c r="I188" s="481"/>
      <c r="J188" s="481"/>
      <c r="K188" s="481"/>
      <c r="L188" s="481"/>
      <c r="M188" s="481"/>
      <c r="N188" s="632"/>
      <c r="O188" s="632"/>
      <c r="P188" s="632"/>
      <c r="Q188" s="632"/>
      <c r="R188" s="632"/>
      <c r="S188" s="632"/>
      <c r="T188" s="632"/>
      <c r="U188" s="632"/>
      <c r="V188" s="632"/>
      <c r="W188" s="632"/>
      <c r="X188" s="632"/>
      <c r="Y188" s="632"/>
      <c r="Z188" s="632"/>
      <c r="AA188" s="632"/>
      <c r="AB188" s="632"/>
      <c r="AC188" s="632"/>
      <c r="AD188" s="632"/>
    </row>
    <row r="189" spans="1:30">
      <c r="A189" s="481"/>
      <c r="B189" s="481"/>
      <c r="C189" s="481"/>
      <c r="D189" s="481"/>
      <c r="E189" s="481"/>
      <c r="F189" s="481"/>
      <c r="G189" s="481"/>
      <c r="H189" s="481"/>
      <c r="I189" s="481"/>
      <c r="J189" s="481"/>
      <c r="K189" s="481"/>
      <c r="L189" s="481"/>
      <c r="M189" s="481"/>
      <c r="N189" s="632"/>
      <c r="O189" s="632"/>
      <c r="P189" s="632"/>
      <c r="Q189" s="632"/>
      <c r="R189" s="632"/>
      <c r="S189" s="632"/>
      <c r="T189" s="632"/>
      <c r="U189" s="632"/>
      <c r="V189" s="632"/>
      <c r="W189" s="632"/>
      <c r="X189" s="632"/>
      <c r="Y189" s="632"/>
      <c r="Z189" s="632"/>
      <c r="AA189" s="632"/>
      <c r="AB189" s="632"/>
      <c r="AC189" s="632"/>
      <c r="AD189" s="632"/>
    </row>
    <row r="190" spans="1:30">
      <c r="A190" s="481"/>
      <c r="B190" s="481"/>
      <c r="C190" s="481"/>
      <c r="D190" s="481"/>
      <c r="E190" s="481"/>
      <c r="F190" s="481"/>
      <c r="G190" s="481"/>
      <c r="H190" s="481"/>
      <c r="I190" s="481"/>
      <c r="J190" s="481"/>
      <c r="K190" s="481"/>
      <c r="L190" s="481"/>
      <c r="M190" s="481"/>
      <c r="N190" s="632"/>
      <c r="O190" s="632"/>
      <c r="P190" s="632"/>
      <c r="Q190" s="632"/>
      <c r="R190" s="632"/>
      <c r="S190" s="632"/>
      <c r="T190" s="632"/>
      <c r="U190" s="632"/>
      <c r="V190" s="632"/>
      <c r="W190" s="632"/>
      <c r="X190" s="632"/>
      <c r="Y190" s="632"/>
      <c r="Z190" s="632"/>
      <c r="AA190" s="632"/>
      <c r="AB190" s="632"/>
      <c r="AC190" s="632"/>
      <c r="AD190" s="632"/>
    </row>
    <row r="191" spans="1:30">
      <c r="A191" s="481"/>
      <c r="B191" s="481"/>
      <c r="C191" s="481"/>
      <c r="D191" s="481"/>
      <c r="E191" s="481"/>
      <c r="F191" s="481"/>
      <c r="G191" s="481"/>
      <c r="H191" s="481"/>
      <c r="I191" s="481"/>
      <c r="J191" s="481"/>
      <c r="K191" s="481"/>
      <c r="L191" s="481"/>
      <c r="M191" s="481"/>
      <c r="N191" s="632"/>
      <c r="O191" s="632"/>
      <c r="P191" s="632"/>
      <c r="Q191" s="632"/>
      <c r="R191" s="632"/>
      <c r="S191" s="632"/>
      <c r="T191" s="632"/>
      <c r="U191" s="632"/>
      <c r="V191" s="632"/>
      <c r="W191" s="632"/>
      <c r="X191" s="632"/>
      <c r="Y191" s="632"/>
      <c r="Z191" s="632"/>
      <c r="AA191" s="632"/>
      <c r="AB191" s="632"/>
      <c r="AC191" s="632"/>
      <c r="AD191" s="632"/>
    </row>
    <row r="192" spans="1:30">
      <c r="A192" s="481"/>
      <c r="B192" s="481"/>
      <c r="C192" s="481"/>
      <c r="D192" s="481"/>
      <c r="E192" s="481"/>
      <c r="F192" s="481"/>
      <c r="G192" s="481"/>
      <c r="H192" s="481"/>
      <c r="I192" s="481"/>
      <c r="J192" s="481"/>
      <c r="K192" s="481"/>
      <c r="L192" s="481"/>
      <c r="M192" s="481"/>
      <c r="N192" s="632"/>
      <c r="O192" s="632"/>
      <c r="P192" s="632"/>
      <c r="Q192" s="632"/>
      <c r="R192" s="632"/>
      <c r="S192" s="632"/>
      <c r="T192" s="632"/>
      <c r="U192" s="632"/>
      <c r="V192" s="632"/>
      <c r="W192" s="632"/>
      <c r="X192" s="632"/>
      <c r="Y192" s="632"/>
      <c r="Z192" s="632"/>
      <c r="AA192" s="632"/>
      <c r="AB192" s="632"/>
      <c r="AC192" s="632"/>
      <c r="AD192" s="632"/>
    </row>
    <row r="193" spans="1:30">
      <c r="A193" s="481"/>
      <c r="B193" s="481"/>
      <c r="C193" s="481"/>
      <c r="D193" s="481"/>
      <c r="E193" s="481"/>
      <c r="F193" s="481"/>
      <c r="G193" s="481"/>
      <c r="H193" s="481"/>
      <c r="I193" s="481"/>
      <c r="J193" s="481"/>
      <c r="K193" s="481"/>
      <c r="L193" s="481"/>
      <c r="M193" s="481"/>
      <c r="N193" s="632"/>
      <c r="O193" s="632"/>
      <c r="P193" s="632"/>
      <c r="Q193" s="632"/>
      <c r="R193" s="632"/>
      <c r="S193" s="632"/>
      <c r="T193" s="632"/>
      <c r="U193" s="632"/>
      <c r="V193" s="632"/>
      <c r="W193" s="632"/>
      <c r="X193" s="632"/>
      <c r="Y193" s="632"/>
      <c r="Z193" s="632"/>
      <c r="AA193" s="632"/>
      <c r="AB193" s="632"/>
      <c r="AC193" s="632"/>
      <c r="AD193" s="632"/>
    </row>
    <row r="194" spans="1:30">
      <c r="A194" s="481"/>
      <c r="B194" s="481"/>
      <c r="C194" s="481"/>
      <c r="D194" s="481"/>
      <c r="E194" s="481"/>
      <c r="F194" s="481"/>
      <c r="G194" s="481"/>
      <c r="H194" s="481"/>
      <c r="I194" s="481"/>
      <c r="J194" s="481"/>
      <c r="K194" s="481"/>
      <c r="L194" s="481"/>
      <c r="M194" s="481"/>
      <c r="N194" s="632"/>
      <c r="O194" s="632"/>
      <c r="P194" s="632"/>
      <c r="Q194" s="632"/>
      <c r="R194" s="632"/>
      <c r="S194" s="632"/>
      <c r="T194" s="632"/>
      <c r="U194" s="632"/>
      <c r="V194" s="632"/>
      <c r="W194" s="632"/>
      <c r="X194" s="632"/>
      <c r="Y194" s="632"/>
      <c r="Z194" s="632"/>
      <c r="AA194" s="632"/>
      <c r="AB194" s="632"/>
      <c r="AC194" s="632"/>
      <c r="AD194" s="632"/>
    </row>
    <row r="195" spans="1:30">
      <c r="A195" s="481"/>
      <c r="B195" s="481"/>
      <c r="C195" s="481"/>
      <c r="D195" s="481"/>
      <c r="E195" s="481"/>
      <c r="F195" s="481"/>
      <c r="G195" s="481"/>
      <c r="H195" s="481"/>
      <c r="I195" s="481"/>
      <c r="J195" s="481"/>
      <c r="K195" s="481"/>
      <c r="L195" s="481"/>
      <c r="M195" s="481"/>
      <c r="N195" s="632"/>
      <c r="O195" s="632"/>
      <c r="P195" s="632"/>
      <c r="Q195" s="632"/>
      <c r="R195" s="632"/>
      <c r="S195" s="632"/>
      <c r="T195" s="632"/>
      <c r="U195" s="632"/>
      <c r="V195" s="632"/>
      <c r="W195" s="632"/>
      <c r="X195" s="632"/>
      <c r="Y195" s="632"/>
      <c r="Z195" s="632"/>
      <c r="AA195" s="632"/>
      <c r="AB195" s="632"/>
      <c r="AC195" s="632"/>
      <c r="AD195" s="632"/>
    </row>
    <row r="196" spans="1:30">
      <c r="A196" s="481"/>
      <c r="B196" s="481"/>
      <c r="C196" s="481"/>
      <c r="D196" s="481"/>
      <c r="E196" s="481"/>
      <c r="F196" s="481"/>
      <c r="G196" s="481"/>
      <c r="H196" s="481"/>
      <c r="I196" s="481"/>
      <c r="J196" s="481"/>
      <c r="K196" s="481"/>
      <c r="L196" s="481"/>
      <c r="M196" s="481"/>
      <c r="N196" s="632"/>
      <c r="O196" s="632"/>
      <c r="P196" s="632"/>
      <c r="Q196" s="632"/>
      <c r="R196" s="632"/>
      <c r="S196" s="632"/>
      <c r="T196" s="632"/>
      <c r="U196" s="632"/>
      <c r="V196" s="632"/>
      <c r="W196" s="632"/>
      <c r="X196" s="632"/>
      <c r="Y196" s="632"/>
      <c r="Z196" s="632"/>
      <c r="AA196" s="632"/>
      <c r="AB196" s="632"/>
      <c r="AC196" s="632"/>
      <c r="AD196" s="632"/>
    </row>
    <row r="197" spans="1:30">
      <c r="A197" s="481"/>
      <c r="B197" s="481"/>
      <c r="C197" s="481"/>
      <c r="D197" s="481"/>
      <c r="E197" s="481"/>
      <c r="F197" s="481"/>
      <c r="G197" s="481"/>
      <c r="H197" s="481"/>
      <c r="I197" s="481"/>
      <c r="J197" s="481"/>
      <c r="K197" s="481"/>
      <c r="L197" s="481"/>
      <c r="M197" s="481"/>
      <c r="N197" s="632"/>
      <c r="O197" s="632"/>
      <c r="P197" s="632"/>
      <c r="Q197" s="632"/>
      <c r="R197" s="632"/>
      <c r="S197" s="632"/>
      <c r="T197" s="632"/>
      <c r="U197" s="632"/>
      <c r="V197" s="632"/>
      <c r="W197" s="632"/>
      <c r="X197" s="632"/>
      <c r="Y197" s="632"/>
      <c r="Z197" s="632"/>
      <c r="AA197" s="632"/>
      <c r="AB197" s="632"/>
      <c r="AC197" s="632"/>
      <c r="AD197" s="632"/>
    </row>
    <row r="198" spans="1:30">
      <c r="A198" s="481"/>
      <c r="B198" s="481"/>
      <c r="C198" s="481"/>
      <c r="D198" s="481"/>
      <c r="E198" s="481"/>
      <c r="F198" s="481"/>
      <c r="G198" s="481"/>
      <c r="H198" s="481"/>
      <c r="I198" s="481"/>
      <c r="J198" s="481"/>
      <c r="K198" s="481"/>
      <c r="L198" s="481"/>
      <c r="M198" s="481"/>
      <c r="N198" s="632"/>
      <c r="O198" s="632"/>
      <c r="P198" s="632"/>
      <c r="Q198" s="632"/>
      <c r="R198" s="632"/>
      <c r="S198" s="632"/>
      <c r="T198" s="632"/>
      <c r="U198" s="632"/>
      <c r="V198" s="632"/>
      <c r="W198" s="632"/>
      <c r="X198" s="632"/>
      <c r="Y198" s="632"/>
      <c r="Z198" s="632"/>
      <c r="AA198" s="632"/>
      <c r="AB198" s="632"/>
      <c r="AC198" s="632"/>
      <c r="AD198" s="632"/>
    </row>
    <row r="199" spans="1:30">
      <c r="A199" s="481"/>
      <c r="B199" s="481"/>
      <c r="C199" s="481"/>
      <c r="D199" s="481"/>
      <c r="E199" s="481"/>
      <c r="F199" s="481"/>
      <c r="G199" s="481"/>
      <c r="H199" s="481"/>
      <c r="I199" s="481"/>
      <c r="J199" s="481"/>
      <c r="K199" s="481"/>
      <c r="L199" s="481"/>
      <c r="M199" s="481"/>
      <c r="N199" s="632"/>
      <c r="O199" s="632"/>
      <c r="P199" s="632"/>
      <c r="Q199" s="632"/>
      <c r="R199" s="632"/>
      <c r="S199" s="632"/>
      <c r="T199" s="632"/>
      <c r="U199" s="632"/>
      <c r="V199" s="632"/>
      <c r="W199" s="632"/>
      <c r="X199" s="632"/>
      <c r="Y199" s="632"/>
      <c r="Z199" s="632"/>
      <c r="AA199" s="632"/>
      <c r="AB199" s="632"/>
      <c r="AC199" s="632"/>
      <c r="AD199" s="632"/>
    </row>
    <row r="200" spans="1:30">
      <c r="A200" s="481"/>
      <c r="B200" s="481"/>
      <c r="C200" s="481"/>
      <c r="D200" s="481"/>
      <c r="E200" s="481"/>
      <c r="F200" s="481"/>
      <c r="G200" s="481"/>
      <c r="H200" s="481"/>
      <c r="I200" s="481"/>
      <c r="J200" s="481"/>
      <c r="K200" s="481"/>
      <c r="L200" s="481"/>
      <c r="M200" s="481"/>
      <c r="N200" s="632"/>
      <c r="O200" s="632"/>
      <c r="P200" s="632"/>
      <c r="Q200" s="632"/>
      <c r="R200" s="632"/>
      <c r="S200" s="632"/>
      <c r="T200" s="632"/>
      <c r="U200" s="632"/>
      <c r="V200" s="632"/>
      <c r="W200" s="632"/>
      <c r="X200" s="632"/>
      <c r="Y200" s="632"/>
      <c r="Z200" s="632"/>
      <c r="AA200" s="632"/>
      <c r="AB200" s="632"/>
      <c r="AC200" s="632"/>
      <c r="AD200" s="632"/>
    </row>
    <row r="201" spans="1:30">
      <c r="A201" s="481"/>
      <c r="B201" s="481"/>
      <c r="C201" s="481"/>
      <c r="D201" s="481"/>
      <c r="E201" s="481"/>
      <c r="F201" s="481"/>
      <c r="G201" s="481"/>
      <c r="H201" s="481"/>
      <c r="I201" s="481"/>
      <c r="J201" s="481"/>
      <c r="K201" s="481"/>
      <c r="L201" s="481"/>
      <c r="M201" s="481"/>
      <c r="N201" s="632"/>
      <c r="O201" s="632"/>
      <c r="P201" s="632"/>
      <c r="Q201" s="632"/>
      <c r="R201" s="632"/>
      <c r="S201" s="632"/>
      <c r="T201" s="632"/>
      <c r="U201" s="632"/>
      <c r="V201" s="632"/>
      <c r="W201" s="632"/>
      <c r="X201" s="632"/>
      <c r="Y201" s="632"/>
      <c r="Z201" s="632"/>
      <c r="AA201" s="632"/>
      <c r="AB201" s="632"/>
      <c r="AC201" s="632"/>
      <c r="AD201" s="632"/>
    </row>
    <row r="202" spans="1:30">
      <c r="A202" s="481"/>
      <c r="B202" s="481"/>
      <c r="C202" s="481"/>
      <c r="D202" s="481"/>
      <c r="E202" s="481"/>
      <c r="F202" s="481"/>
      <c r="G202" s="481"/>
      <c r="H202" s="481"/>
      <c r="I202" s="481"/>
      <c r="J202" s="481"/>
      <c r="K202" s="481"/>
      <c r="L202" s="481"/>
      <c r="M202" s="481"/>
      <c r="N202" s="632"/>
      <c r="O202" s="632"/>
      <c r="P202" s="632"/>
      <c r="Q202" s="632"/>
      <c r="R202" s="632"/>
      <c r="S202" s="632"/>
      <c r="T202" s="632"/>
      <c r="U202" s="632"/>
      <c r="V202" s="632"/>
      <c r="W202" s="632"/>
      <c r="X202" s="632"/>
      <c r="Y202" s="632"/>
      <c r="Z202" s="632"/>
      <c r="AA202" s="632"/>
      <c r="AB202" s="632"/>
      <c r="AC202" s="632"/>
      <c r="AD202" s="632"/>
    </row>
    <row r="203" spans="1:30">
      <c r="A203" s="481"/>
      <c r="B203" s="481"/>
      <c r="C203" s="481"/>
      <c r="D203" s="481"/>
      <c r="E203" s="481"/>
      <c r="F203" s="481"/>
      <c r="G203" s="481"/>
      <c r="H203" s="481"/>
      <c r="I203" s="481"/>
      <c r="J203" s="481"/>
      <c r="K203" s="481"/>
      <c r="L203" s="481"/>
      <c r="M203" s="481"/>
      <c r="N203" s="632"/>
      <c r="O203" s="632"/>
      <c r="P203" s="632"/>
      <c r="Q203" s="632"/>
      <c r="R203" s="632"/>
      <c r="S203" s="632"/>
      <c r="T203" s="632"/>
      <c r="U203" s="632"/>
      <c r="V203" s="632"/>
      <c r="W203" s="632"/>
      <c r="X203" s="632"/>
      <c r="Y203" s="632"/>
      <c r="Z203" s="632"/>
      <c r="AA203" s="632"/>
      <c r="AB203" s="632"/>
      <c r="AC203" s="632"/>
      <c r="AD203" s="632"/>
    </row>
    <row r="204" spans="1:30">
      <c r="A204" s="481"/>
      <c r="B204" s="481"/>
      <c r="C204" s="481"/>
      <c r="D204" s="481"/>
      <c r="E204" s="481"/>
      <c r="F204" s="481"/>
      <c r="G204" s="481"/>
      <c r="H204" s="481"/>
      <c r="I204" s="481"/>
      <c r="J204" s="481"/>
      <c r="K204" s="481"/>
      <c r="L204" s="481"/>
      <c r="M204" s="481"/>
      <c r="N204" s="632"/>
      <c r="O204" s="632"/>
      <c r="P204" s="632"/>
      <c r="Q204" s="632"/>
      <c r="R204" s="632"/>
      <c r="S204" s="632"/>
      <c r="T204" s="632"/>
      <c r="U204" s="632"/>
      <c r="V204" s="632"/>
      <c r="W204" s="632"/>
      <c r="X204" s="632"/>
      <c r="Y204" s="632"/>
      <c r="Z204" s="632"/>
      <c r="AA204" s="632"/>
      <c r="AB204" s="632"/>
      <c r="AC204" s="632"/>
      <c r="AD204" s="632"/>
    </row>
    <row r="205" spans="1:30">
      <c r="A205" s="481"/>
      <c r="B205" s="481"/>
      <c r="C205" s="481"/>
      <c r="D205" s="481"/>
      <c r="E205" s="481"/>
      <c r="F205" s="481"/>
      <c r="G205" s="481"/>
      <c r="H205" s="481"/>
      <c r="I205" s="481"/>
      <c r="J205" s="481"/>
      <c r="K205" s="481"/>
      <c r="L205" s="481"/>
      <c r="M205" s="481"/>
      <c r="N205" s="632"/>
      <c r="O205" s="632"/>
      <c r="P205" s="632"/>
      <c r="Q205" s="632"/>
      <c r="R205" s="632"/>
      <c r="S205" s="632"/>
      <c r="T205" s="632"/>
      <c r="U205" s="632"/>
      <c r="V205" s="632"/>
      <c r="W205" s="632"/>
      <c r="X205" s="632"/>
      <c r="Y205" s="632"/>
      <c r="Z205" s="632"/>
      <c r="AA205" s="632"/>
      <c r="AB205" s="632"/>
      <c r="AC205" s="632"/>
      <c r="AD205" s="632"/>
    </row>
    <row r="206" spans="1:30">
      <c r="A206" s="481"/>
      <c r="B206" s="481"/>
      <c r="C206" s="481"/>
      <c r="D206" s="481"/>
      <c r="E206" s="481"/>
      <c r="F206" s="481"/>
      <c r="G206" s="481"/>
      <c r="H206" s="481"/>
      <c r="I206" s="481"/>
      <c r="J206" s="481"/>
      <c r="K206" s="481"/>
      <c r="L206" s="481"/>
      <c r="M206" s="481"/>
      <c r="N206" s="632"/>
      <c r="O206" s="632"/>
      <c r="P206" s="632"/>
      <c r="Q206" s="632"/>
      <c r="R206" s="632"/>
      <c r="S206" s="632"/>
      <c r="T206" s="632"/>
      <c r="U206" s="632"/>
      <c r="V206" s="632"/>
      <c r="W206" s="632"/>
      <c r="X206" s="632"/>
      <c r="Y206" s="632"/>
      <c r="Z206" s="632"/>
      <c r="AA206" s="632"/>
      <c r="AB206" s="632"/>
      <c r="AC206" s="632"/>
      <c r="AD206" s="632"/>
    </row>
    <row r="207" spans="1:30">
      <c r="A207" s="481"/>
      <c r="B207" s="481"/>
      <c r="C207" s="481"/>
      <c r="D207" s="481"/>
      <c r="E207" s="481"/>
      <c r="F207" s="481"/>
      <c r="G207" s="481"/>
      <c r="H207" s="481"/>
      <c r="I207" s="481"/>
      <c r="J207" s="481"/>
      <c r="K207" s="481"/>
      <c r="L207" s="481"/>
      <c r="M207" s="481"/>
      <c r="N207" s="632"/>
      <c r="O207" s="632"/>
      <c r="P207" s="632"/>
      <c r="Q207" s="632"/>
      <c r="R207" s="632"/>
      <c r="S207" s="632"/>
      <c r="T207" s="632"/>
      <c r="U207" s="632"/>
      <c r="V207" s="632"/>
      <c r="W207" s="632"/>
      <c r="X207" s="632"/>
      <c r="Y207" s="632"/>
      <c r="Z207" s="632"/>
      <c r="AA207" s="632"/>
      <c r="AB207" s="632"/>
      <c r="AC207" s="632"/>
      <c r="AD207" s="632"/>
    </row>
    <row r="208" spans="1:30">
      <c r="A208" s="481"/>
      <c r="B208" s="481"/>
      <c r="C208" s="481"/>
      <c r="D208" s="481"/>
      <c r="E208" s="481"/>
      <c r="F208" s="481"/>
      <c r="G208" s="481"/>
      <c r="H208" s="481"/>
      <c r="I208" s="481"/>
      <c r="J208" s="481"/>
      <c r="K208" s="481"/>
      <c r="L208" s="481"/>
      <c r="M208" s="481"/>
      <c r="N208" s="632"/>
      <c r="O208" s="632"/>
      <c r="P208" s="632"/>
      <c r="Q208" s="632"/>
      <c r="R208" s="632"/>
      <c r="S208" s="632"/>
      <c r="T208" s="632"/>
      <c r="U208" s="632"/>
      <c r="V208" s="632"/>
      <c r="W208" s="632"/>
      <c r="X208" s="632"/>
      <c r="Y208" s="632"/>
      <c r="Z208" s="632"/>
      <c r="AA208" s="632"/>
      <c r="AB208" s="632"/>
      <c r="AC208" s="632"/>
      <c r="AD208" s="632"/>
    </row>
    <row r="209" spans="1:30">
      <c r="A209" s="481"/>
      <c r="B209" s="481"/>
      <c r="C209" s="481"/>
      <c r="D209" s="481"/>
      <c r="E209" s="481"/>
      <c r="F209" s="481"/>
      <c r="G209" s="481"/>
      <c r="H209" s="481"/>
      <c r="I209" s="481"/>
      <c r="J209" s="481"/>
      <c r="K209" s="481"/>
      <c r="L209" s="481"/>
      <c r="M209" s="481"/>
      <c r="N209" s="632"/>
      <c r="O209" s="632"/>
      <c r="P209" s="632"/>
      <c r="Q209" s="632"/>
      <c r="R209" s="632"/>
      <c r="S209" s="632"/>
      <c r="T209" s="632"/>
      <c r="U209" s="632"/>
      <c r="V209" s="632"/>
      <c r="W209" s="632"/>
      <c r="X209" s="632"/>
      <c r="Y209" s="632"/>
      <c r="Z209" s="632"/>
      <c r="AA209" s="632"/>
      <c r="AB209" s="632"/>
      <c r="AC209" s="632"/>
      <c r="AD209" s="632"/>
    </row>
    <row r="210" spans="1:30">
      <c r="A210" s="481"/>
      <c r="B210" s="481"/>
      <c r="C210" s="481"/>
      <c r="D210" s="481"/>
      <c r="E210" s="481"/>
      <c r="F210" s="481"/>
      <c r="G210" s="481"/>
      <c r="H210" s="481"/>
      <c r="I210" s="481"/>
      <c r="J210" s="481"/>
      <c r="K210" s="481"/>
      <c r="L210" s="481"/>
      <c r="M210" s="481"/>
      <c r="N210" s="632"/>
      <c r="O210" s="632"/>
      <c r="P210" s="632"/>
      <c r="Q210" s="632"/>
      <c r="R210" s="632"/>
      <c r="S210" s="632"/>
      <c r="T210" s="632"/>
      <c r="U210" s="632"/>
      <c r="V210" s="632"/>
      <c r="W210" s="632"/>
      <c r="X210" s="632"/>
      <c r="Y210" s="632"/>
      <c r="Z210" s="632"/>
      <c r="AA210" s="632"/>
      <c r="AB210" s="632"/>
      <c r="AC210" s="632"/>
      <c r="AD210" s="632"/>
    </row>
    <row r="211" spans="1:30">
      <c r="A211" s="481"/>
      <c r="B211" s="481"/>
      <c r="C211" s="481"/>
      <c r="D211" s="481"/>
      <c r="E211" s="481"/>
      <c r="F211" s="481"/>
      <c r="G211" s="481"/>
      <c r="H211" s="481"/>
      <c r="I211" s="481"/>
      <c r="J211" s="481"/>
      <c r="K211" s="481"/>
      <c r="L211" s="481"/>
      <c r="M211" s="481"/>
      <c r="N211" s="632"/>
      <c r="O211" s="632"/>
      <c r="P211" s="632"/>
      <c r="Q211" s="632"/>
      <c r="R211" s="632"/>
      <c r="S211" s="632"/>
      <c r="T211" s="632"/>
      <c r="U211" s="632"/>
      <c r="V211" s="632"/>
      <c r="W211" s="632"/>
      <c r="X211" s="632"/>
      <c r="Y211" s="632"/>
      <c r="Z211" s="632"/>
      <c r="AA211" s="632"/>
      <c r="AB211" s="632"/>
      <c r="AC211" s="632"/>
      <c r="AD211" s="632"/>
    </row>
    <row r="212" spans="1:30">
      <c r="A212" s="481"/>
      <c r="B212" s="481"/>
      <c r="C212" s="481"/>
      <c r="D212" s="481"/>
      <c r="E212" s="481"/>
      <c r="F212" s="481"/>
      <c r="G212" s="481"/>
      <c r="H212" s="481"/>
      <c r="I212" s="481"/>
      <c r="J212" s="481"/>
      <c r="K212" s="481"/>
      <c r="L212" s="481"/>
      <c r="M212" s="481"/>
      <c r="N212" s="632"/>
      <c r="O212" s="632"/>
      <c r="P212" s="632"/>
      <c r="Q212" s="632"/>
      <c r="R212" s="632"/>
      <c r="S212" s="632"/>
      <c r="T212" s="632"/>
      <c r="U212" s="632"/>
      <c r="V212" s="632"/>
      <c r="W212" s="632"/>
      <c r="X212" s="632"/>
      <c r="Y212" s="632"/>
      <c r="Z212" s="632"/>
      <c r="AA212" s="632"/>
      <c r="AB212" s="632"/>
      <c r="AC212" s="632"/>
      <c r="AD212" s="632"/>
    </row>
    <row r="213" spans="1:30">
      <c r="A213" s="481"/>
      <c r="B213" s="481"/>
      <c r="C213" s="481"/>
      <c r="D213" s="481"/>
      <c r="E213" s="481"/>
      <c r="F213" s="481"/>
      <c r="G213" s="481"/>
      <c r="H213" s="481"/>
      <c r="I213" s="481"/>
      <c r="J213" s="481"/>
      <c r="K213" s="481"/>
      <c r="L213" s="481"/>
      <c r="M213" s="481"/>
      <c r="N213" s="632"/>
      <c r="O213" s="632"/>
      <c r="P213" s="632"/>
      <c r="Q213" s="632"/>
      <c r="R213" s="632"/>
      <c r="S213" s="632"/>
      <c r="T213" s="632"/>
      <c r="U213" s="632"/>
      <c r="V213" s="632"/>
      <c r="W213" s="632"/>
      <c r="X213" s="632"/>
      <c r="Y213" s="632"/>
      <c r="Z213" s="632"/>
      <c r="AA213" s="632"/>
      <c r="AB213" s="632"/>
      <c r="AC213" s="632"/>
      <c r="AD213" s="632"/>
    </row>
    <row r="214" spans="1:30">
      <c r="A214" s="481"/>
      <c r="B214" s="481"/>
      <c r="C214" s="481"/>
      <c r="D214" s="481"/>
      <c r="E214" s="481"/>
      <c r="F214" s="481"/>
      <c r="G214" s="481"/>
      <c r="H214" s="481"/>
      <c r="I214" s="481"/>
      <c r="J214" s="481"/>
      <c r="K214" s="481"/>
      <c r="L214" s="481"/>
      <c r="M214" s="481"/>
      <c r="N214" s="632"/>
      <c r="O214" s="632"/>
      <c r="P214" s="632"/>
      <c r="Q214" s="632"/>
      <c r="R214" s="632"/>
      <c r="S214" s="632"/>
      <c r="T214" s="632"/>
      <c r="U214" s="632"/>
      <c r="V214" s="632"/>
      <c r="W214" s="632"/>
      <c r="X214" s="632"/>
      <c r="Y214" s="632"/>
      <c r="Z214" s="632"/>
      <c r="AA214" s="632"/>
      <c r="AB214" s="632"/>
      <c r="AC214" s="632"/>
      <c r="AD214" s="632"/>
    </row>
    <row r="215" spans="1:30">
      <c r="A215" s="481"/>
      <c r="B215" s="481"/>
      <c r="C215" s="481"/>
      <c r="D215" s="481"/>
      <c r="E215" s="481"/>
      <c r="F215" s="481"/>
      <c r="G215" s="481"/>
      <c r="H215" s="481"/>
      <c r="I215" s="481"/>
      <c r="J215" s="481"/>
      <c r="K215" s="481"/>
      <c r="L215" s="481"/>
      <c r="M215" s="481"/>
      <c r="N215" s="632"/>
      <c r="O215" s="632"/>
      <c r="P215" s="632"/>
      <c r="Q215" s="632"/>
      <c r="R215" s="632"/>
      <c r="S215" s="632"/>
      <c r="T215" s="632"/>
      <c r="U215" s="632"/>
      <c r="V215" s="632"/>
      <c r="W215" s="632"/>
      <c r="X215" s="632"/>
      <c r="Y215" s="632"/>
      <c r="Z215" s="632"/>
      <c r="AA215" s="632"/>
      <c r="AB215" s="632"/>
      <c r="AC215" s="632"/>
      <c r="AD215" s="632"/>
    </row>
    <row r="216" spans="1:30">
      <c r="A216" s="481"/>
      <c r="B216" s="481"/>
      <c r="C216" s="481"/>
      <c r="D216" s="481"/>
      <c r="E216" s="481"/>
      <c r="F216" s="481"/>
      <c r="G216" s="481"/>
      <c r="H216" s="481"/>
      <c r="I216" s="481"/>
      <c r="J216" s="481"/>
      <c r="K216" s="481"/>
      <c r="L216" s="481"/>
      <c r="M216" s="481"/>
      <c r="N216" s="632"/>
      <c r="O216" s="632"/>
      <c r="P216" s="632"/>
      <c r="Q216" s="632"/>
      <c r="R216" s="632"/>
      <c r="S216" s="632"/>
      <c r="T216" s="632"/>
      <c r="U216" s="632"/>
      <c r="V216" s="632"/>
      <c r="W216" s="632"/>
      <c r="X216" s="632"/>
      <c r="Y216" s="632"/>
      <c r="Z216" s="632"/>
      <c r="AA216" s="632"/>
      <c r="AB216" s="632"/>
      <c r="AC216" s="632"/>
      <c r="AD216" s="632"/>
    </row>
    <row r="217" spans="1:30">
      <c r="A217" s="481"/>
      <c r="B217" s="481"/>
      <c r="C217" s="481"/>
      <c r="D217" s="481"/>
      <c r="E217" s="481"/>
      <c r="F217" s="481"/>
      <c r="G217" s="481"/>
      <c r="H217" s="481"/>
      <c r="I217" s="481"/>
      <c r="J217" s="481"/>
      <c r="K217" s="481"/>
      <c r="L217" s="481"/>
      <c r="M217" s="481"/>
      <c r="N217" s="632"/>
      <c r="O217" s="632"/>
      <c r="P217" s="632"/>
      <c r="Q217" s="632"/>
      <c r="R217" s="632"/>
      <c r="S217" s="632"/>
      <c r="T217" s="632"/>
      <c r="U217" s="632"/>
      <c r="V217" s="632"/>
      <c r="W217" s="632"/>
      <c r="X217" s="632"/>
      <c r="Y217" s="632"/>
      <c r="Z217" s="632"/>
      <c r="AA217" s="632"/>
      <c r="AB217" s="632"/>
      <c r="AC217" s="632"/>
      <c r="AD217" s="632"/>
    </row>
    <row r="218" spans="1:30">
      <c r="A218" s="481"/>
      <c r="B218" s="481"/>
      <c r="C218" s="481"/>
      <c r="D218" s="481"/>
      <c r="E218" s="481"/>
      <c r="F218" s="481"/>
      <c r="G218" s="481"/>
      <c r="H218" s="481"/>
      <c r="I218" s="481"/>
      <c r="J218" s="481"/>
      <c r="K218" s="481"/>
      <c r="L218" s="481"/>
      <c r="M218" s="481"/>
      <c r="N218" s="632"/>
      <c r="O218" s="632"/>
      <c r="P218" s="632"/>
      <c r="Q218" s="632"/>
      <c r="R218" s="632"/>
      <c r="S218" s="632"/>
      <c r="T218" s="632"/>
      <c r="U218" s="632"/>
      <c r="V218" s="632"/>
      <c r="W218" s="632"/>
      <c r="X218" s="632"/>
      <c r="Y218" s="632"/>
      <c r="Z218" s="632"/>
      <c r="AA218" s="632"/>
      <c r="AB218" s="632"/>
      <c r="AC218" s="632"/>
      <c r="AD218" s="632"/>
    </row>
    <row r="219" spans="1:30">
      <c r="A219" s="481"/>
      <c r="B219" s="481"/>
      <c r="C219" s="481"/>
      <c r="D219" s="481"/>
      <c r="E219" s="481"/>
      <c r="F219" s="481"/>
      <c r="G219" s="481"/>
      <c r="H219" s="481"/>
      <c r="I219" s="481"/>
      <c r="J219" s="481"/>
      <c r="K219" s="481"/>
      <c r="L219" s="481"/>
      <c r="M219" s="481"/>
      <c r="N219" s="632"/>
      <c r="O219" s="632"/>
      <c r="P219" s="632"/>
      <c r="Q219" s="632"/>
      <c r="R219" s="632"/>
      <c r="S219" s="632"/>
      <c r="T219" s="632"/>
      <c r="U219" s="632"/>
      <c r="V219" s="632"/>
      <c r="W219" s="632"/>
      <c r="X219" s="632"/>
      <c r="Y219" s="632"/>
      <c r="Z219" s="632"/>
      <c r="AA219" s="632"/>
      <c r="AB219" s="632"/>
      <c r="AC219" s="632"/>
      <c r="AD219" s="632"/>
    </row>
    <row r="220" spans="1:30">
      <c r="A220" s="481"/>
      <c r="B220" s="481"/>
      <c r="C220" s="481"/>
      <c r="D220" s="481"/>
      <c r="E220" s="481"/>
      <c r="F220" s="481"/>
      <c r="G220" s="481"/>
      <c r="H220" s="481"/>
      <c r="I220" s="481"/>
      <c r="J220" s="481"/>
      <c r="K220" s="481"/>
      <c r="L220" s="481"/>
      <c r="M220" s="481"/>
      <c r="N220" s="632"/>
      <c r="O220" s="632"/>
      <c r="P220" s="632"/>
      <c r="Q220" s="632"/>
      <c r="R220" s="632"/>
      <c r="S220" s="632"/>
      <c r="T220" s="632"/>
      <c r="U220" s="632"/>
      <c r="V220" s="632"/>
      <c r="W220" s="632"/>
      <c r="X220" s="632"/>
      <c r="Y220" s="632"/>
      <c r="Z220" s="632"/>
      <c r="AA220" s="632"/>
      <c r="AB220" s="632"/>
      <c r="AC220" s="632"/>
      <c r="AD220" s="632"/>
    </row>
    <row r="221" spans="1:30">
      <c r="A221" s="481"/>
      <c r="B221" s="481"/>
      <c r="C221" s="481"/>
      <c r="D221" s="481"/>
      <c r="E221" s="481"/>
      <c r="F221" s="481"/>
      <c r="G221" s="481"/>
      <c r="H221" s="481"/>
      <c r="I221" s="481"/>
      <c r="J221" s="481"/>
      <c r="K221" s="481"/>
      <c r="L221" s="481"/>
      <c r="M221" s="481"/>
      <c r="N221" s="632"/>
      <c r="O221" s="632"/>
      <c r="P221" s="632"/>
      <c r="Q221" s="632"/>
      <c r="R221" s="632"/>
      <c r="S221" s="632"/>
      <c r="T221" s="632"/>
      <c r="U221" s="632"/>
      <c r="V221" s="632"/>
      <c r="W221" s="632"/>
      <c r="X221" s="632"/>
      <c r="Y221" s="632"/>
      <c r="Z221" s="632"/>
      <c r="AA221" s="632"/>
      <c r="AB221" s="632"/>
      <c r="AC221" s="632"/>
      <c r="AD221" s="632"/>
    </row>
    <row r="222" spans="1:30">
      <c r="A222" s="481"/>
      <c r="B222" s="481"/>
      <c r="C222" s="481"/>
      <c r="D222" s="481"/>
      <c r="E222" s="481"/>
      <c r="F222" s="481"/>
      <c r="G222" s="481"/>
      <c r="H222" s="481"/>
      <c r="I222" s="481"/>
      <c r="J222" s="481"/>
      <c r="K222" s="481"/>
      <c r="L222" s="481"/>
      <c r="M222" s="481"/>
      <c r="N222" s="632"/>
      <c r="O222" s="632"/>
      <c r="P222" s="632"/>
      <c r="Q222" s="632"/>
      <c r="R222" s="632"/>
      <c r="S222" s="632"/>
      <c r="T222" s="632"/>
      <c r="U222" s="632"/>
      <c r="V222" s="632"/>
      <c r="W222" s="632"/>
      <c r="X222" s="632"/>
      <c r="Y222" s="632"/>
      <c r="Z222" s="632"/>
      <c r="AA222" s="632"/>
      <c r="AB222" s="632"/>
      <c r="AC222" s="632"/>
      <c r="AD222" s="632"/>
    </row>
    <row r="223" spans="1:30">
      <c r="A223" s="481"/>
      <c r="B223" s="481"/>
      <c r="C223" s="481"/>
      <c r="D223" s="481"/>
      <c r="E223" s="481"/>
      <c r="F223" s="481"/>
      <c r="G223" s="481"/>
      <c r="H223" s="481"/>
      <c r="I223" s="481"/>
      <c r="J223" s="481"/>
      <c r="K223" s="481"/>
      <c r="L223" s="481"/>
      <c r="M223" s="481"/>
      <c r="N223" s="632"/>
      <c r="O223" s="632"/>
      <c r="P223" s="632"/>
      <c r="Q223" s="632"/>
      <c r="R223" s="632"/>
      <c r="S223" s="632"/>
      <c r="T223" s="632"/>
      <c r="U223" s="632"/>
      <c r="V223" s="632"/>
      <c r="W223" s="632"/>
      <c r="X223" s="632"/>
      <c r="Y223" s="632"/>
      <c r="Z223" s="632"/>
      <c r="AA223" s="632"/>
      <c r="AB223" s="632"/>
      <c r="AC223" s="632"/>
      <c r="AD223" s="632"/>
    </row>
    <row r="224" spans="1:30">
      <c r="A224" s="481"/>
      <c r="B224" s="481"/>
      <c r="C224" s="481"/>
      <c r="D224" s="481"/>
      <c r="E224" s="481"/>
      <c r="F224" s="481"/>
      <c r="G224" s="481"/>
      <c r="H224" s="481"/>
      <c r="I224" s="481"/>
      <c r="J224" s="481"/>
      <c r="K224" s="481"/>
      <c r="L224" s="481"/>
      <c r="M224" s="481"/>
      <c r="N224" s="632"/>
      <c r="O224" s="632"/>
      <c r="P224" s="632"/>
      <c r="Q224" s="632"/>
      <c r="R224" s="632"/>
      <c r="S224" s="632"/>
      <c r="T224" s="632"/>
      <c r="U224" s="632"/>
      <c r="V224" s="632"/>
      <c r="W224" s="632"/>
      <c r="X224" s="632"/>
      <c r="Y224" s="632"/>
      <c r="Z224" s="632"/>
      <c r="AA224" s="632"/>
      <c r="AB224" s="632"/>
      <c r="AC224" s="632"/>
      <c r="AD224" s="632"/>
    </row>
    <row r="225" spans="1:30">
      <c r="A225" s="481"/>
      <c r="B225" s="481"/>
      <c r="C225" s="481"/>
      <c r="D225" s="481"/>
      <c r="E225" s="481"/>
      <c r="F225" s="481"/>
      <c r="G225" s="481"/>
      <c r="H225" s="481"/>
      <c r="I225" s="481"/>
      <c r="J225" s="481"/>
      <c r="K225" s="481"/>
      <c r="L225" s="481"/>
      <c r="M225" s="481"/>
      <c r="N225" s="632"/>
      <c r="O225" s="632"/>
      <c r="P225" s="632"/>
      <c r="Q225" s="632"/>
      <c r="R225" s="632"/>
      <c r="S225" s="632"/>
      <c r="T225" s="632"/>
      <c r="U225" s="632"/>
      <c r="V225" s="632"/>
      <c r="W225" s="632"/>
      <c r="X225" s="632"/>
      <c r="Y225" s="632"/>
      <c r="Z225" s="632"/>
      <c r="AA225" s="632"/>
      <c r="AB225" s="632"/>
      <c r="AC225" s="632"/>
      <c r="AD225" s="632"/>
    </row>
    <row r="226" spans="1:30">
      <c r="A226" s="481"/>
      <c r="B226" s="481"/>
      <c r="C226" s="481"/>
      <c r="D226" s="481"/>
      <c r="E226" s="481"/>
      <c r="F226" s="481"/>
      <c r="G226" s="481"/>
      <c r="H226" s="481"/>
      <c r="I226" s="481"/>
      <c r="J226" s="481"/>
      <c r="K226" s="481"/>
      <c r="L226" s="481"/>
      <c r="M226" s="481"/>
      <c r="N226" s="632"/>
      <c r="O226" s="632"/>
      <c r="P226" s="632"/>
      <c r="Q226" s="632"/>
      <c r="R226" s="632"/>
      <c r="S226" s="632"/>
      <c r="T226" s="632"/>
      <c r="U226" s="632"/>
      <c r="V226" s="632"/>
      <c r="W226" s="632"/>
      <c r="X226" s="632"/>
      <c r="Y226" s="632"/>
      <c r="Z226" s="632"/>
      <c r="AA226" s="632"/>
      <c r="AB226" s="632"/>
      <c r="AC226" s="632"/>
      <c r="AD226" s="632"/>
    </row>
    <row r="227" spans="1:30">
      <c r="A227" s="481"/>
      <c r="B227" s="481"/>
      <c r="C227" s="481"/>
      <c r="D227" s="481"/>
      <c r="E227" s="481"/>
      <c r="F227" s="481"/>
      <c r="G227" s="481"/>
      <c r="H227" s="481"/>
      <c r="I227" s="481"/>
      <c r="J227" s="481"/>
      <c r="K227" s="481"/>
      <c r="L227" s="481"/>
      <c r="M227" s="481"/>
      <c r="N227" s="632"/>
      <c r="O227" s="632"/>
      <c r="P227" s="632"/>
      <c r="Q227" s="632"/>
      <c r="R227" s="632"/>
      <c r="S227" s="632"/>
      <c r="T227" s="632"/>
      <c r="U227" s="632"/>
      <c r="V227" s="632"/>
      <c r="W227" s="632"/>
      <c r="X227" s="632"/>
      <c r="Y227" s="632"/>
      <c r="Z227" s="632"/>
      <c r="AA227" s="632"/>
      <c r="AB227" s="632"/>
      <c r="AC227" s="632"/>
      <c r="AD227" s="632"/>
    </row>
    <row r="228" spans="1:30">
      <c r="A228" s="481"/>
      <c r="B228" s="481"/>
      <c r="C228" s="481"/>
      <c r="D228" s="481"/>
      <c r="E228" s="481"/>
      <c r="F228" s="481"/>
      <c r="G228" s="481"/>
      <c r="H228" s="481"/>
      <c r="I228" s="481"/>
      <c r="J228" s="481"/>
      <c r="K228" s="481"/>
      <c r="L228" s="481"/>
      <c r="M228" s="481"/>
      <c r="N228" s="632"/>
      <c r="O228" s="632"/>
      <c r="P228" s="632"/>
      <c r="Q228" s="632"/>
      <c r="R228" s="632"/>
      <c r="S228" s="632"/>
      <c r="T228" s="632"/>
      <c r="U228" s="632"/>
      <c r="V228" s="632"/>
      <c r="W228" s="632"/>
      <c r="X228" s="632"/>
      <c r="Y228" s="632"/>
      <c r="Z228" s="632"/>
      <c r="AA228" s="632"/>
      <c r="AB228" s="632"/>
      <c r="AC228" s="632"/>
      <c r="AD228" s="632"/>
    </row>
    <row r="229" spans="1:30">
      <c r="A229" s="481"/>
      <c r="B229" s="481"/>
      <c r="C229" s="481"/>
      <c r="D229" s="481"/>
      <c r="E229" s="481"/>
      <c r="F229" s="481"/>
      <c r="G229" s="481"/>
      <c r="H229" s="481"/>
      <c r="I229" s="481"/>
      <c r="J229" s="481"/>
      <c r="K229" s="481"/>
      <c r="L229" s="481"/>
      <c r="M229" s="481"/>
      <c r="N229" s="632"/>
      <c r="O229" s="632"/>
      <c r="P229" s="632"/>
      <c r="Q229" s="632"/>
      <c r="R229" s="632"/>
      <c r="S229" s="632"/>
      <c r="T229" s="632"/>
      <c r="U229" s="632"/>
      <c r="V229" s="632"/>
      <c r="W229" s="632"/>
      <c r="X229" s="632"/>
      <c r="Y229" s="632"/>
      <c r="Z229" s="632"/>
      <c r="AA229" s="632"/>
      <c r="AB229" s="632"/>
      <c r="AC229" s="632"/>
      <c r="AD229" s="632"/>
    </row>
    <row r="230" spans="1:30">
      <c r="A230" s="481"/>
      <c r="B230" s="481"/>
      <c r="C230" s="481"/>
      <c r="D230" s="481"/>
      <c r="E230" s="481"/>
      <c r="F230" s="481"/>
      <c r="G230" s="481"/>
      <c r="H230" s="481"/>
      <c r="I230" s="481"/>
      <c r="J230" s="481"/>
      <c r="K230" s="481"/>
      <c r="L230" s="481"/>
      <c r="M230" s="481"/>
      <c r="N230" s="632"/>
      <c r="O230" s="632"/>
      <c r="P230" s="632"/>
      <c r="Q230" s="632"/>
      <c r="R230" s="632"/>
      <c r="S230" s="632"/>
      <c r="T230" s="632"/>
      <c r="U230" s="632"/>
      <c r="V230" s="632"/>
      <c r="W230" s="632"/>
      <c r="X230" s="632"/>
      <c r="Y230" s="632"/>
      <c r="Z230" s="632"/>
      <c r="AA230" s="632"/>
      <c r="AB230" s="632"/>
      <c r="AC230" s="632"/>
      <c r="AD230" s="632"/>
    </row>
    <row r="231" spans="1:30">
      <c r="A231" s="481"/>
      <c r="B231" s="481"/>
      <c r="C231" s="481"/>
      <c r="D231" s="481"/>
      <c r="E231" s="481"/>
      <c r="F231" s="481"/>
      <c r="G231" s="481"/>
      <c r="H231" s="481"/>
      <c r="I231" s="481"/>
      <c r="J231" s="481"/>
      <c r="K231" s="481"/>
      <c r="L231" s="481"/>
      <c r="M231" s="481"/>
      <c r="N231" s="632"/>
      <c r="O231" s="632"/>
      <c r="P231" s="632"/>
      <c r="Q231" s="632"/>
      <c r="R231" s="632"/>
      <c r="S231" s="632"/>
      <c r="T231" s="632"/>
      <c r="U231" s="632"/>
      <c r="V231" s="632"/>
      <c r="W231" s="632"/>
      <c r="X231" s="632"/>
      <c r="Y231" s="632"/>
      <c r="Z231" s="632"/>
      <c r="AA231" s="632"/>
      <c r="AB231" s="632"/>
      <c r="AC231" s="632"/>
      <c r="AD231" s="632"/>
    </row>
    <row r="232" spans="1:30">
      <c r="A232" s="481"/>
      <c r="B232" s="481"/>
      <c r="C232" s="481"/>
      <c r="D232" s="481"/>
      <c r="E232" s="481"/>
      <c r="F232" s="481"/>
      <c r="G232" s="481"/>
      <c r="H232" s="481"/>
      <c r="I232" s="481"/>
      <c r="J232" s="481"/>
      <c r="K232" s="481"/>
      <c r="L232" s="481"/>
      <c r="M232" s="481"/>
      <c r="N232" s="632"/>
      <c r="O232" s="632"/>
      <c r="P232" s="632"/>
      <c r="Q232" s="632"/>
      <c r="R232" s="632"/>
      <c r="S232" s="632"/>
      <c r="T232" s="632"/>
      <c r="U232" s="632"/>
      <c r="V232" s="632"/>
      <c r="W232" s="632"/>
      <c r="X232" s="632"/>
      <c r="Y232" s="632"/>
      <c r="Z232" s="632"/>
      <c r="AA232" s="632"/>
      <c r="AB232" s="632"/>
      <c r="AC232" s="632"/>
      <c r="AD232" s="632"/>
    </row>
    <row r="233" spans="1:30">
      <c r="A233" s="481"/>
      <c r="B233" s="481"/>
      <c r="C233" s="481"/>
      <c r="D233" s="481"/>
      <c r="E233" s="481"/>
      <c r="F233" s="481"/>
      <c r="G233" s="481"/>
      <c r="H233" s="481"/>
      <c r="I233" s="481"/>
      <c r="J233" s="481"/>
      <c r="K233" s="481"/>
      <c r="L233" s="481"/>
      <c r="M233" s="481"/>
      <c r="N233" s="632"/>
      <c r="O233" s="632"/>
      <c r="P233" s="632"/>
      <c r="Q233" s="632"/>
      <c r="R233" s="632"/>
      <c r="S233" s="632"/>
      <c r="T233" s="632"/>
      <c r="U233" s="632"/>
      <c r="V233" s="632"/>
      <c r="W233" s="632"/>
      <c r="X233" s="632"/>
      <c r="Y233" s="632"/>
      <c r="Z233" s="632"/>
      <c r="AA233" s="632"/>
      <c r="AB233" s="632"/>
      <c r="AC233" s="632"/>
      <c r="AD233" s="632"/>
    </row>
    <row r="234" spans="1:30">
      <c r="A234" s="481"/>
      <c r="B234" s="481"/>
      <c r="C234" s="481"/>
      <c r="D234" s="481"/>
      <c r="E234" s="481"/>
      <c r="F234" s="481"/>
      <c r="G234" s="481"/>
      <c r="H234" s="481"/>
      <c r="I234" s="481"/>
      <c r="J234" s="481"/>
      <c r="K234" s="481"/>
      <c r="L234" s="481"/>
      <c r="M234" s="481"/>
      <c r="N234" s="632"/>
      <c r="O234" s="632"/>
      <c r="P234" s="632"/>
      <c r="Q234" s="632"/>
      <c r="R234" s="632"/>
      <c r="S234" s="632"/>
      <c r="T234" s="632"/>
      <c r="U234" s="632"/>
      <c r="V234" s="632"/>
      <c r="W234" s="632"/>
      <c r="X234" s="632"/>
      <c r="Y234" s="632"/>
      <c r="Z234" s="632"/>
      <c r="AA234" s="632"/>
      <c r="AB234" s="632"/>
      <c r="AC234" s="632"/>
      <c r="AD234" s="632"/>
    </row>
    <row r="235" spans="1:30">
      <c r="A235" s="481"/>
      <c r="B235" s="481"/>
      <c r="C235" s="481"/>
      <c r="D235" s="481"/>
      <c r="E235" s="481"/>
      <c r="F235" s="481"/>
      <c r="G235" s="481"/>
      <c r="H235" s="481"/>
      <c r="I235" s="481"/>
      <c r="J235" s="481"/>
      <c r="K235" s="481"/>
      <c r="L235" s="481"/>
      <c r="M235" s="481"/>
      <c r="N235" s="632"/>
      <c r="O235" s="632"/>
      <c r="P235" s="632"/>
      <c r="Q235" s="632"/>
      <c r="R235" s="632"/>
      <c r="S235" s="632"/>
      <c r="T235" s="632"/>
      <c r="U235" s="632"/>
      <c r="V235" s="632"/>
      <c r="W235" s="632"/>
      <c r="X235" s="632"/>
      <c r="Y235" s="632"/>
      <c r="Z235" s="632"/>
      <c r="AA235" s="632"/>
      <c r="AB235" s="632"/>
      <c r="AC235" s="632"/>
      <c r="AD235" s="632"/>
    </row>
    <row r="236" spans="1:30">
      <c r="A236" s="481"/>
      <c r="B236" s="481"/>
      <c r="C236" s="481"/>
      <c r="D236" s="481"/>
      <c r="E236" s="481"/>
      <c r="F236" s="481"/>
      <c r="G236" s="481"/>
      <c r="H236" s="481"/>
      <c r="I236" s="481"/>
      <c r="J236" s="481"/>
      <c r="K236" s="481"/>
      <c r="L236" s="481"/>
      <c r="M236" s="481"/>
      <c r="N236" s="632"/>
      <c r="O236" s="632"/>
      <c r="P236" s="632"/>
      <c r="Q236" s="632"/>
      <c r="R236" s="632"/>
      <c r="S236" s="632"/>
      <c r="T236" s="632"/>
      <c r="U236" s="632"/>
      <c r="V236" s="632"/>
      <c r="W236" s="632"/>
      <c r="X236" s="632"/>
      <c r="Y236" s="632"/>
      <c r="Z236" s="632"/>
      <c r="AA236" s="632"/>
      <c r="AB236" s="632"/>
      <c r="AC236" s="632"/>
      <c r="AD236" s="632"/>
    </row>
    <row r="237" spans="1:30">
      <c r="A237" s="481"/>
      <c r="B237" s="481"/>
      <c r="C237" s="481"/>
      <c r="D237" s="481"/>
      <c r="E237" s="481"/>
      <c r="F237" s="481"/>
      <c r="G237" s="481"/>
      <c r="H237" s="481"/>
      <c r="I237" s="481"/>
      <c r="J237" s="481"/>
      <c r="K237" s="481"/>
      <c r="L237" s="481"/>
      <c r="M237" s="481"/>
      <c r="N237" s="632"/>
      <c r="O237" s="632"/>
      <c r="P237" s="632"/>
      <c r="Q237" s="632"/>
      <c r="R237" s="632"/>
      <c r="S237" s="632"/>
      <c r="T237" s="632"/>
      <c r="U237" s="632"/>
      <c r="V237" s="632"/>
      <c r="W237" s="632"/>
      <c r="X237" s="632"/>
      <c r="Y237" s="632"/>
      <c r="Z237" s="632"/>
      <c r="AA237" s="632"/>
      <c r="AB237" s="632"/>
      <c r="AC237" s="632"/>
      <c r="AD237" s="632"/>
    </row>
    <row r="238" spans="1:30">
      <c r="A238" s="481"/>
      <c r="B238" s="481"/>
      <c r="C238" s="481"/>
      <c r="D238" s="481"/>
      <c r="E238" s="481"/>
      <c r="F238" s="481"/>
      <c r="G238" s="481"/>
      <c r="H238" s="481"/>
      <c r="I238" s="481"/>
      <c r="J238" s="481"/>
      <c r="K238" s="481"/>
      <c r="L238" s="481"/>
      <c r="M238" s="481"/>
      <c r="N238" s="632"/>
      <c r="O238" s="632"/>
      <c r="P238" s="632"/>
      <c r="Q238" s="632"/>
      <c r="R238" s="632"/>
      <c r="S238" s="632"/>
      <c r="T238" s="632"/>
      <c r="U238" s="632"/>
      <c r="V238" s="632"/>
      <c r="W238" s="632"/>
      <c r="X238" s="632"/>
      <c r="Y238" s="632"/>
      <c r="Z238" s="632"/>
      <c r="AA238" s="632"/>
      <c r="AB238" s="632"/>
      <c r="AC238" s="632"/>
      <c r="AD238" s="632"/>
    </row>
    <row r="239" spans="1:30">
      <c r="A239" s="481"/>
      <c r="B239" s="481"/>
      <c r="C239" s="481"/>
      <c r="D239" s="481"/>
      <c r="E239" s="481"/>
      <c r="F239" s="481"/>
      <c r="G239" s="481"/>
      <c r="H239" s="481"/>
      <c r="I239" s="481"/>
      <c r="J239" s="481"/>
      <c r="K239" s="481"/>
      <c r="L239" s="481"/>
      <c r="M239" s="481"/>
      <c r="N239" s="632"/>
      <c r="O239" s="632"/>
      <c r="P239" s="632"/>
      <c r="Q239" s="632"/>
      <c r="R239" s="632"/>
      <c r="S239" s="632"/>
      <c r="T239" s="632"/>
      <c r="U239" s="632"/>
      <c r="V239" s="632"/>
      <c r="W239" s="632"/>
      <c r="X239" s="632"/>
      <c r="Y239" s="632"/>
      <c r="Z239" s="632"/>
      <c r="AA239" s="632"/>
      <c r="AB239" s="632"/>
      <c r="AC239" s="632"/>
      <c r="AD239" s="632"/>
    </row>
    <row r="240" spans="1:30">
      <c r="A240" s="481"/>
      <c r="B240" s="481"/>
      <c r="C240" s="481"/>
      <c r="D240" s="481"/>
      <c r="E240" s="481"/>
      <c r="F240" s="481"/>
      <c r="G240" s="481"/>
      <c r="H240" s="481"/>
      <c r="I240" s="481"/>
      <c r="J240" s="481"/>
      <c r="K240" s="481"/>
      <c r="L240" s="481"/>
      <c r="M240" s="481"/>
      <c r="N240" s="632"/>
      <c r="O240" s="632"/>
      <c r="P240" s="632"/>
      <c r="Q240" s="632"/>
      <c r="R240" s="632"/>
      <c r="S240" s="632"/>
      <c r="T240" s="632"/>
      <c r="U240" s="632"/>
      <c r="V240" s="632"/>
      <c r="W240" s="632"/>
      <c r="X240" s="632"/>
      <c r="Y240" s="632"/>
      <c r="Z240" s="632"/>
      <c r="AA240" s="632"/>
      <c r="AB240" s="632"/>
      <c r="AC240" s="632"/>
      <c r="AD240" s="632"/>
    </row>
    <row r="241" spans="1:30">
      <c r="A241" s="481"/>
      <c r="B241" s="481"/>
      <c r="C241" s="481"/>
      <c r="D241" s="481"/>
      <c r="E241" s="481"/>
      <c r="F241" s="481"/>
      <c r="G241" s="481"/>
      <c r="H241" s="481"/>
      <c r="I241" s="481"/>
      <c r="J241" s="481"/>
      <c r="K241" s="481"/>
      <c r="L241" s="481"/>
      <c r="M241" s="481"/>
      <c r="N241" s="632"/>
      <c r="O241" s="632"/>
      <c r="P241" s="632"/>
      <c r="Q241" s="632"/>
      <c r="R241" s="632"/>
      <c r="S241" s="632"/>
      <c r="T241" s="632"/>
      <c r="U241" s="632"/>
      <c r="V241" s="632"/>
      <c r="W241" s="632"/>
      <c r="X241" s="632"/>
      <c r="Y241" s="632"/>
      <c r="Z241" s="632"/>
      <c r="AA241" s="632"/>
      <c r="AB241" s="632"/>
      <c r="AC241" s="632"/>
      <c r="AD241" s="632"/>
    </row>
    <row r="242" spans="1:30">
      <c r="A242" s="481"/>
      <c r="B242" s="481"/>
      <c r="C242" s="481"/>
      <c r="D242" s="481"/>
      <c r="E242" s="481"/>
      <c r="F242" s="481"/>
      <c r="G242" s="481"/>
      <c r="H242" s="481"/>
      <c r="I242" s="481"/>
      <c r="J242" s="481"/>
      <c r="K242" s="481"/>
      <c r="L242" s="481"/>
      <c r="M242" s="481"/>
      <c r="N242" s="632"/>
      <c r="O242" s="632"/>
      <c r="P242" s="632"/>
      <c r="Q242" s="632"/>
      <c r="R242" s="632"/>
      <c r="S242" s="632"/>
      <c r="T242" s="632"/>
      <c r="U242" s="632"/>
      <c r="V242" s="632"/>
      <c r="W242" s="632"/>
      <c r="X242" s="632"/>
      <c r="Y242" s="632"/>
      <c r="Z242" s="632"/>
      <c r="AA242" s="632"/>
      <c r="AB242" s="632"/>
      <c r="AC242" s="632"/>
      <c r="AD242" s="632"/>
    </row>
    <row r="243" spans="1:30">
      <c r="A243" s="481"/>
      <c r="B243" s="481"/>
      <c r="C243" s="481"/>
      <c r="D243" s="481"/>
      <c r="E243" s="481"/>
      <c r="F243" s="481"/>
      <c r="G243" s="481"/>
      <c r="H243" s="481"/>
      <c r="I243" s="481"/>
      <c r="J243" s="481"/>
      <c r="K243" s="481"/>
      <c r="L243" s="481"/>
      <c r="M243" s="481"/>
      <c r="N243" s="632"/>
      <c r="O243" s="632"/>
      <c r="P243" s="632"/>
      <c r="Q243" s="632"/>
      <c r="R243" s="632"/>
      <c r="S243" s="632"/>
      <c r="T243" s="632"/>
      <c r="U243" s="632"/>
      <c r="V243" s="632"/>
      <c r="W243" s="632"/>
      <c r="X243" s="632"/>
      <c r="Y243" s="632"/>
      <c r="Z243" s="632"/>
      <c r="AA243" s="632"/>
      <c r="AB243" s="632"/>
      <c r="AC243" s="632"/>
      <c r="AD243" s="632"/>
    </row>
    <row r="244" spans="1:30">
      <c r="A244" s="481"/>
      <c r="B244" s="481"/>
      <c r="C244" s="481"/>
      <c r="D244" s="481"/>
      <c r="E244" s="481"/>
      <c r="F244" s="481"/>
      <c r="G244" s="481"/>
      <c r="H244" s="481"/>
      <c r="I244" s="481"/>
      <c r="J244" s="481"/>
      <c r="K244" s="481"/>
      <c r="L244" s="481"/>
      <c r="M244" s="481"/>
      <c r="N244" s="632"/>
      <c r="O244" s="632"/>
      <c r="P244" s="632"/>
      <c r="Q244" s="632"/>
      <c r="R244" s="632"/>
      <c r="S244" s="632"/>
      <c r="T244" s="632"/>
      <c r="U244" s="632"/>
      <c r="V244" s="632"/>
      <c r="W244" s="632"/>
      <c r="X244" s="632"/>
      <c r="Y244" s="632"/>
      <c r="Z244" s="632"/>
      <c r="AA244" s="632"/>
      <c r="AB244" s="632"/>
      <c r="AC244" s="632"/>
      <c r="AD244" s="632"/>
    </row>
    <row r="245" spans="1:30">
      <c r="A245" s="481"/>
      <c r="B245" s="481"/>
      <c r="C245" s="481"/>
      <c r="D245" s="481"/>
      <c r="E245" s="481"/>
      <c r="F245" s="481"/>
      <c r="G245" s="481"/>
      <c r="H245" s="481"/>
      <c r="I245" s="481"/>
      <c r="J245" s="481"/>
      <c r="K245" s="481"/>
      <c r="L245" s="481"/>
      <c r="M245" s="481"/>
      <c r="N245" s="632"/>
      <c r="O245" s="632"/>
      <c r="P245" s="632"/>
      <c r="Q245" s="632"/>
      <c r="R245" s="632"/>
      <c r="S245" s="632"/>
      <c r="T245" s="632"/>
      <c r="U245" s="632"/>
      <c r="V245" s="632"/>
      <c r="W245" s="632"/>
      <c r="X245" s="632"/>
      <c r="Y245" s="632"/>
      <c r="Z245" s="632"/>
      <c r="AA245" s="632"/>
      <c r="AB245" s="632"/>
      <c r="AC245" s="632"/>
      <c r="AD245" s="632"/>
    </row>
    <row r="246" spans="1:30">
      <c r="A246" s="481"/>
      <c r="B246" s="481"/>
      <c r="C246" s="481"/>
      <c r="D246" s="481"/>
      <c r="E246" s="481"/>
      <c r="F246" s="481"/>
      <c r="G246" s="481"/>
      <c r="H246" s="481"/>
      <c r="I246" s="481"/>
      <c r="J246" s="481"/>
      <c r="K246" s="481"/>
      <c r="L246" s="481"/>
      <c r="M246" s="481"/>
      <c r="N246" s="632"/>
      <c r="O246" s="632"/>
      <c r="P246" s="632"/>
      <c r="Q246" s="632"/>
      <c r="R246" s="632"/>
      <c r="S246" s="632"/>
      <c r="T246" s="632"/>
      <c r="U246" s="632"/>
      <c r="V246" s="632"/>
      <c r="W246" s="632"/>
      <c r="X246" s="632"/>
      <c r="Y246" s="632"/>
      <c r="Z246" s="632"/>
      <c r="AA246" s="632"/>
      <c r="AB246" s="632"/>
      <c r="AC246" s="632"/>
      <c r="AD246" s="632"/>
    </row>
    <row r="247" spans="1:30">
      <c r="A247" s="481"/>
      <c r="B247" s="481"/>
      <c r="C247" s="481"/>
      <c r="D247" s="481"/>
      <c r="E247" s="481"/>
      <c r="F247" s="481"/>
      <c r="G247" s="481"/>
      <c r="H247" s="481"/>
      <c r="I247" s="481"/>
      <c r="J247" s="481"/>
      <c r="K247" s="481"/>
      <c r="L247" s="481"/>
      <c r="M247" s="481"/>
      <c r="N247" s="632"/>
      <c r="O247" s="632"/>
      <c r="P247" s="632"/>
      <c r="Q247" s="632"/>
      <c r="R247" s="632"/>
      <c r="S247" s="632"/>
      <c r="T247" s="632"/>
      <c r="U247" s="632"/>
      <c r="V247" s="632"/>
      <c r="W247" s="632"/>
      <c r="X247" s="632"/>
      <c r="Y247" s="632"/>
      <c r="Z247" s="632"/>
      <c r="AA247" s="632"/>
      <c r="AB247" s="632"/>
      <c r="AC247" s="632"/>
      <c r="AD247" s="632"/>
    </row>
    <row r="248" spans="1:30">
      <c r="A248" s="481"/>
      <c r="B248" s="481"/>
      <c r="C248" s="481"/>
      <c r="D248" s="481"/>
      <c r="E248" s="481"/>
      <c r="F248" s="481"/>
      <c r="G248" s="481"/>
      <c r="H248" s="481"/>
      <c r="I248" s="481"/>
      <c r="J248" s="481"/>
      <c r="K248" s="481"/>
      <c r="L248" s="481"/>
      <c r="M248" s="481"/>
      <c r="N248" s="632"/>
      <c r="O248" s="632"/>
      <c r="P248" s="632"/>
      <c r="Q248" s="632"/>
      <c r="R248" s="632"/>
      <c r="S248" s="632"/>
      <c r="T248" s="632"/>
      <c r="U248" s="632"/>
      <c r="V248" s="632"/>
      <c r="W248" s="632"/>
      <c r="X248" s="632"/>
      <c r="Y248" s="632"/>
      <c r="Z248" s="632"/>
      <c r="AA248" s="632"/>
      <c r="AB248" s="632"/>
      <c r="AC248" s="632"/>
      <c r="AD248" s="632"/>
    </row>
    <row r="249" spans="1:30">
      <c r="A249" s="481"/>
      <c r="B249" s="481"/>
      <c r="C249" s="481"/>
      <c r="D249" s="481"/>
      <c r="E249" s="481"/>
      <c r="F249" s="481"/>
      <c r="G249" s="481"/>
      <c r="H249" s="481"/>
      <c r="I249" s="481"/>
      <c r="J249" s="481"/>
      <c r="K249" s="481"/>
      <c r="L249" s="481"/>
      <c r="M249" s="481"/>
      <c r="N249" s="632"/>
      <c r="O249" s="632"/>
      <c r="P249" s="632"/>
      <c r="Q249" s="632"/>
      <c r="R249" s="632"/>
      <c r="S249" s="632"/>
      <c r="T249" s="632"/>
      <c r="U249" s="632"/>
      <c r="V249" s="632"/>
      <c r="W249" s="632"/>
      <c r="X249" s="632"/>
      <c r="Y249" s="632"/>
      <c r="Z249" s="632"/>
      <c r="AA249" s="632"/>
      <c r="AB249" s="632"/>
      <c r="AC249" s="632"/>
      <c r="AD249" s="632"/>
    </row>
    <row r="250" spans="1:30">
      <c r="A250" s="481"/>
      <c r="B250" s="481"/>
      <c r="C250" s="481"/>
      <c r="D250" s="481"/>
      <c r="E250" s="481"/>
      <c r="F250" s="481"/>
      <c r="G250" s="481"/>
      <c r="H250" s="481"/>
      <c r="I250" s="481"/>
      <c r="J250" s="481"/>
      <c r="K250" s="481"/>
      <c r="L250" s="481"/>
      <c r="M250" s="481"/>
      <c r="N250" s="632"/>
      <c r="O250" s="632"/>
      <c r="P250" s="632"/>
      <c r="Q250" s="632"/>
      <c r="R250" s="632"/>
      <c r="S250" s="632"/>
      <c r="T250" s="632"/>
      <c r="U250" s="632"/>
      <c r="V250" s="632"/>
      <c r="W250" s="632"/>
      <c r="X250" s="632"/>
      <c r="Y250" s="632"/>
      <c r="Z250" s="632"/>
      <c r="AA250" s="632"/>
      <c r="AB250" s="632"/>
      <c r="AC250" s="632"/>
      <c r="AD250" s="632"/>
    </row>
    <row r="251" spans="1:30">
      <c r="A251" s="481"/>
      <c r="B251" s="481"/>
      <c r="C251" s="481"/>
      <c r="D251" s="481"/>
      <c r="E251" s="481"/>
      <c r="F251" s="481"/>
      <c r="G251" s="481"/>
      <c r="H251" s="481"/>
      <c r="I251" s="481"/>
      <c r="J251" s="481"/>
      <c r="K251" s="481"/>
      <c r="L251" s="481"/>
      <c r="M251" s="481"/>
      <c r="N251" s="632"/>
      <c r="O251" s="632"/>
      <c r="P251" s="632"/>
      <c r="Q251" s="632"/>
      <c r="R251" s="632"/>
      <c r="S251" s="632"/>
      <c r="T251" s="632"/>
      <c r="U251" s="632"/>
      <c r="V251" s="632"/>
      <c r="W251" s="632"/>
      <c r="X251" s="632"/>
      <c r="Y251" s="632"/>
      <c r="Z251" s="632"/>
      <c r="AA251" s="632"/>
      <c r="AB251" s="632"/>
      <c r="AC251" s="632"/>
      <c r="AD251" s="632"/>
    </row>
    <row r="252" spans="1:30">
      <c r="A252" s="481"/>
      <c r="B252" s="481"/>
      <c r="C252" s="481"/>
      <c r="D252" s="481"/>
      <c r="E252" s="481"/>
      <c r="F252" s="481"/>
      <c r="G252" s="481"/>
      <c r="H252" s="481"/>
      <c r="I252" s="481"/>
      <c r="J252" s="481"/>
      <c r="K252" s="481"/>
      <c r="L252" s="481"/>
      <c r="M252" s="481"/>
      <c r="N252" s="632"/>
      <c r="O252" s="632"/>
      <c r="P252" s="632"/>
      <c r="Q252" s="632"/>
      <c r="R252" s="632"/>
      <c r="S252" s="632"/>
      <c r="T252" s="632"/>
      <c r="U252" s="632"/>
      <c r="V252" s="632"/>
      <c r="W252" s="632"/>
      <c r="X252" s="632"/>
      <c r="Y252" s="632"/>
      <c r="Z252" s="632"/>
      <c r="AA252" s="632"/>
      <c r="AB252" s="632"/>
      <c r="AC252" s="632"/>
      <c r="AD252" s="632"/>
    </row>
    <row r="253" spans="1:30">
      <c r="A253" s="481"/>
      <c r="B253" s="481"/>
      <c r="C253" s="481"/>
      <c r="D253" s="481"/>
      <c r="E253" s="481"/>
      <c r="F253" s="481"/>
      <c r="G253" s="481"/>
      <c r="H253" s="481"/>
      <c r="I253" s="481"/>
      <c r="J253" s="481"/>
      <c r="K253" s="481"/>
      <c r="L253" s="481"/>
      <c r="M253" s="481"/>
      <c r="N253" s="632"/>
      <c r="O253" s="632"/>
      <c r="P253" s="632"/>
      <c r="Q253" s="632"/>
      <c r="R253" s="632"/>
      <c r="S253" s="632"/>
      <c r="T253" s="632"/>
      <c r="U253" s="632"/>
      <c r="V253" s="632"/>
      <c r="W253" s="632"/>
      <c r="X253" s="632"/>
      <c r="Y253" s="632"/>
      <c r="Z253" s="632"/>
      <c r="AA253" s="632"/>
      <c r="AB253" s="632"/>
      <c r="AC253" s="632"/>
      <c r="AD253" s="632"/>
    </row>
    <row r="254" spans="1:30">
      <c r="A254" s="481"/>
      <c r="B254" s="481"/>
      <c r="C254" s="481"/>
      <c r="D254" s="481"/>
      <c r="E254" s="481"/>
      <c r="F254" s="481"/>
      <c r="G254" s="481"/>
      <c r="H254" s="481"/>
      <c r="I254" s="481"/>
      <c r="J254" s="481"/>
      <c r="K254" s="481"/>
      <c r="L254" s="481"/>
      <c r="M254" s="481"/>
      <c r="N254" s="632"/>
      <c r="O254" s="632"/>
      <c r="P254" s="632"/>
      <c r="Q254" s="632"/>
      <c r="R254" s="632"/>
      <c r="S254" s="632"/>
      <c r="T254" s="632"/>
      <c r="U254" s="632"/>
      <c r="V254" s="632"/>
      <c r="W254" s="632"/>
      <c r="X254" s="632"/>
      <c r="Y254" s="632"/>
      <c r="Z254" s="632"/>
      <c r="AA254" s="632"/>
      <c r="AB254" s="632"/>
      <c r="AC254" s="632"/>
      <c r="AD254" s="632"/>
    </row>
    <row r="255" spans="1:30">
      <c r="A255" s="481"/>
      <c r="B255" s="481"/>
      <c r="C255" s="481"/>
      <c r="D255" s="481"/>
      <c r="E255" s="481"/>
      <c r="F255" s="481"/>
      <c r="G255" s="481"/>
      <c r="H255" s="481"/>
      <c r="I255" s="481"/>
      <c r="J255" s="481"/>
      <c r="K255" s="481"/>
      <c r="L255" s="481"/>
      <c r="M255" s="481"/>
      <c r="N255" s="632"/>
      <c r="O255" s="632"/>
      <c r="P255" s="632"/>
      <c r="Q255" s="632"/>
      <c r="R255" s="632"/>
      <c r="S255" s="632"/>
      <c r="T255" s="632"/>
      <c r="U255" s="632"/>
      <c r="V255" s="632"/>
      <c r="W255" s="632"/>
      <c r="X255" s="632"/>
      <c r="Y255" s="632"/>
      <c r="Z255" s="632"/>
      <c r="AA255" s="632"/>
      <c r="AB255" s="632"/>
      <c r="AC255" s="632"/>
      <c r="AD255" s="632"/>
    </row>
    <row r="256" spans="1:30">
      <c r="A256" s="481"/>
      <c r="B256" s="481"/>
      <c r="C256" s="481"/>
      <c r="D256" s="481"/>
      <c r="E256" s="481"/>
      <c r="F256" s="481"/>
      <c r="G256" s="481"/>
      <c r="H256" s="481"/>
      <c r="I256" s="481"/>
      <c r="J256" s="481"/>
      <c r="K256" s="481"/>
      <c r="L256" s="481"/>
      <c r="M256" s="481"/>
      <c r="N256" s="632"/>
      <c r="O256" s="632"/>
      <c r="P256" s="632"/>
      <c r="Q256" s="632"/>
      <c r="R256" s="632"/>
      <c r="S256" s="632"/>
      <c r="T256" s="632"/>
      <c r="U256" s="632"/>
      <c r="V256" s="632"/>
      <c r="W256" s="632"/>
      <c r="X256" s="632"/>
      <c r="Y256" s="632"/>
      <c r="Z256" s="632"/>
      <c r="AA256" s="632"/>
      <c r="AB256" s="632"/>
      <c r="AC256" s="632"/>
      <c r="AD256" s="632"/>
    </row>
    <row r="257" spans="1:30">
      <c r="A257" s="481"/>
      <c r="B257" s="481"/>
      <c r="C257" s="481"/>
      <c r="D257" s="481"/>
      <c r="E257" s="481"/>
      <c r="F257" s="481"/>
      <c r="G257" s="481"/>
      <c r="H257" s="481"/>
      <c r="I257" s="481"/>
      <c r="J257" s="481"/>
      <c r="K257" s="481"/>
      <c r="L257" s="481"/>
      <c r="M257" s="481"/>
      <c r="N257" s="632"/>
      <c r="O257" s="632"/>
      <c r="P257" s="632"/>
      <c r="Q257" s="632"/>
      <c r="R257" s="632"/>
      <c r="S257" s="632"/>
      <c r="T257" s="632"/>
      <c r="U257" s="632"/>
      <c r="V257" s="632"/>
      <c r="W257" s="632"/>
      <c r="X257" s="632"/>
      <c r="Y257" s="632"/>
      <c r="Z257" s="632"/>
      <c r="AA257" s="632"/>
      <c r="AB257" s="632"/>
      <c r="AC257" s="632"/>
      <c r="AD257" s="632"/>
    </row>
    <row r="258" spans="1:30">
      <c r="A258" s="481"/>
      <c r="B258" s="481"/>
      <c r="C258" s="481"/>
      <c r="D258" s="481"/>
      <c r="E258" s="481"/>
      <c r="F258" s="481"/>
      <c r="G258" s="481"/>
      <c r="H258" s="481"/>
      <c r="I258" s="481"/>
      <c r="J258" s="481"/>
      <c r="K258" s="481"/>
      <c r="L258" s="481"/>
      <c r="M258" s="481"/>
      <c r="N258" s="632"/>
      <c r="O258" s="632"/>
      <c r="P258" s="632"/>
      <c r="Q258" s="632"/>
      <c r="R258" s="632"/>
      <c r="S258" s="632"/>
      <c r="T258" s="632"/>
      <c r="U258" s="632"/>
      <c r="V258" s="632"/>
      <c r="W258" s="632"/>
      <c r="X258" s="632"/>
      <c r="Y258" s="632"/>
      <c r="Z258" s="632"/>
      <c r="AA258" s="632"/>
      <c r="AB258" s="632"/>
      <c r="AC258" s="632"/>
      <c r="AD258" s="632"/>
    </row>
    <row r="259" spans="1:30">
      <c r="A259" s="481"/>
      <c r="B259" s="481"/>
      <c r="C259" s="481"/>
      <c r="D259" s="481"/>
      <c r="E259" s="481"/>
      <c r="F259" s="481"/>
      <c r="G259" s="481"/>
      <c r="H259" s="481"/>
      <c r="I259" s="481"/>
      <c r="J259" s="481"/>
      <c r="K259" s="481"/>
      <c r="L259" s="481"/>
      <c r="M259" s="481"/>
      <c r="N259" s="632"/>
      <c r="O259" s="632"/>
      <c r="P259" s="632"/>
      <c r="Q259" s="632"/>
      <c r="R259" s="632"/>
      <c r="S259" s="632"/>
      <c r="T259" s="632"/>
      <c r="U259" s="632"/>
      <c r="V259" s="632"/>
      <c r="W259" s="632"/>
      <c r="X259" s="632"/>
      <c r="Y259" s="632"/>
      <c r="Z259" s="632"/>
      <c r="AA259" s="632"/>
      <c r="AB259" s="632"/>
      <c r="AC259" s="632"/>
      <c r="AD259" s="632"/>
    </row>
    <row r="260" spans="1:30">
      <c r="A260" s="481"/>
      <c r="B260" s="481"/>
      <c r="C260" s="481"/>
      <c r="D260" s="481"/>
      <c r="E260" s="481"/>
      <c r="F260" s="481"/>
      <c r="G260" s="481"/>
      <c r="H260" s="481"/>
      <c r="I260" s="481"/>
      <c r="J260" s="481"/>
      <c r="K260" s="481"/>
      <c r="L260" s="481"/>
      <c r="M260" s="481"/>
      <c r="N260" s="632"/>
      <c r="O260" s="632"/>
      <c r="P260" s="632"/>
      <c r="Q260" s="632"/>
      <c r="R260" s="632"/>
      <c r="S260" s="632"/>
      <c r="T260" s="632"/>
      <c r="U260" s="632"/>
      <c r="V260" s="632"/>
      <c r="W260" s="632"/>
      <c r="X260" s="632"/>
      <c r="Y260" s="632"/>
      <c r="Z260" s="632"/>
      <c r="AA260" s="632"/>
      <c r="AB260" s="632"/>
      <c r="AC260" s="632"/>
      <c r="AD260" s="632"/>
    </row>
    <row r="261" spans="1:30">
      <c r="A261" s="481"/>
      <c r="B261" s="481"/>
      <c r="C261" s="481"/>
      <c r="D261" s="481"/>
      <c r="E261" s="481"/>
      <c r="F261" s="481"/>
      <c r="G261" s="481"/>
      <c r="H261" s="481"/>
      <c r="I261" s="481"/>
      <c r="J261" s="481"/>
      <c r="K261" s="481"/>
      <c r="L261" s="481"/>
      <c r="M261" s="481"/>
      <c r="N261" s="632"/>
      <c r="O261" s="632"/>
      <c r="P261" s="632"/>
      <c r="Q261" s="632"/>
      <c r="R261" s="632"/>
      <c r="S261" s="632"/>
      <c r="T261" s="632"/>
      <c r="U261" s="632"/>
      <c r="V261" s="632"/>
      <c r="W261" s="632"/>
      <c r="X261" s="632"/>
      <c r="Y261" s="632"/>
      <c r="Z261" s="632"/>
      <c r="AA261" s="632"/>
      <c r="AB261" s="632"/>
      <c r="AC261" s="632"/>
      <c r="AD261" s="632"/>
    </row>
    <row r="262" spans="1:30">
      <c r="A262" s="481"/>
      <c r="B262" s="481"/>
      <c r="C262" s="481"/>
      <c r="D262" s="481"/>
      <c r="E262" s="481"/>
      <c r="F262" s="481"/>
      <c r="G262" s="481"/>
      <c r="H262" s="481"/>
      <c r="I262" s="481"/>
      <c r="J262" s="481"/>
      <c r="K262" s="481"/>
      <c r="L262" s="481"/>
      <c r="M262" s="481"/>
      <c r="N262" s="632"/>
      <c r="O262" s="632"/>
      <c r="P262" s="632"/>
      <c r="Q262" s="632"/>
      <c r="R262" s="632"/>
      <c r="S262" s="632"/>
      <c r="T262" s="632"/>
      <c r="U262" s="632"/>
      <c r="V262" s="632"/>
      <c r="W262" s="632"/>
      <c r="X262" s="632"/>
      <c r="Y262" s="632"/>
      <c r="Z262" s="632"/>
      <c r="AA262" s="632"/>
      <c r="AB262" s="632"/>
      <c r="AC262" s="632"/>
      <c r="AD262" s="632"/>
    </row>
    <row r="263" spans="1:30">
      <c r="A263" s="481"/>
      <c r="B263" s="481"/>
      <c r="C263" s="481"/>
      <c r="D263" s="481"/>
      <c r="E263" s="481"/>
      <c r="F263" s="481"/>
      <c r="G263" s="481"/>
      <c r="H263" s="481"/>
      <c r="I263" s="481"/>
      <c r="J263" s="481"/>
      <c r="K263" s="481"/>
      <c r="L263" s="481"/>
      <c r="M263" s="481"/>
      <c r="N263" s="632"/>
      <c r="O263" s="632"/>
      <c r="P263" s="632"/>
      <c r="Q263" s="632"/>
      <c r="R263" s="632"/>
      <c r="S263" s="632"/>
      <c r="T263" s="632"/>
      <c r="U263" s="632"/>
      <c r="V263" s="632"/>
      <c r="W263" s="632"/>
      <c r="X263" s="632"/>
      <c r="Y263" s="632"/>
      <c r="Z263" s="632"/>
      <c r="AA263" s="632"/>
      <c r="AB263" s="632"/>
      <c r="AC263" s="632"/>
      <c r="AD263" s="632"/>
    </row>
    <row r="264" spans="1:30">
      <c r="A264" s="481"/>
      <c r="B264" s="481"/>
      <c r="C264" s="481"/>
      <c r="D264" s="481"/>
      <c r="E264" s="481"/>
      <c r="F264" s="481"/>
      <c r="G264" s="481"/>
      <c r="H264" s="481"/>
      <c r="I264" s="481"/>
      <c r="J264" s="481"/>
      <c r="K264" s="481"/>
      <c r="L264" s="481"/>
      <c r="M264" s="481"/>
      <c r="N264" s="632"/>
      <c r="O264" s="632"/>
      <c r="P264" s="632"/>
      <c r="Q264" s="632"/>
      <c r="R264" s="632"/>
      <c r="S264" s="632"/>
      <c r="T264" s="632"/>
      <c r="U264" s="632"/>
      <c r="V264" s="632"/>
      <c r="W264" s="632"/>
      <c r="X264" s="632"/>
      <c r="Y264" s="632"/>
      <c r="Z264" s="632"/>
      <c r="AA264" s="632"/>
      <c r="AB264" s="632"/>
      <c r="AC264" s="632"/>
      <c r="AD264" s="632"/>
    </row>
    <row r="265" spans="1:30">
      <c r="A265" s="481"/>
      <c r="B265" s="481"/>
      <c r="C265" s="481"/>
      <c r="D265" s="481"/>
      <c r="E265" s="481"/>
      <c r="F265" s="481"/>
      <c r="G265" s="481"/>
      <c r="H265" s="481"/>
      <c r="I265" s="481"/>
      <c r="J265" s="481"/>
      <c r="K265" s="481"/>
      <c r="L265" s="481"/>
      <c r="M265" s="481"/>
      <c r="N265" s="632"/>
      <c r="O265" s="632"/>
      <c r="P265" s="632"/>
      <c r="Q265" s="632"/>
      <c r="R265" s="632"/>
      <c r="S265" s="632"/>
      <c r="T265" s="632"/>
      <c r="U265" s="632"/>
      <c r="V265" s="632"/>
      <c r="W265" s="632"/>
      <c r="X265" s="632"/>
      <c r="Y265" s="632"/>
      <c r="Z265" s="632"/>
      <c r="AA265" s="632"/>
      <c r="AB265" s="632"/>
      <c r="AC265" s="632"/>
      <c r="AD265" s="632"/>
    </row>
    <row r="266" spans="1:30">
      <c r="A266" s="481"/>
      <c r="B266" s="481"/>
      <c r="C266" s="481"/>
      <c r="D266" s="481"/>
      <c r="E266" s="481"/>
      <c r="F266" s="481"/>
      <c r="G266" s="481"/>
      <c r="H266" s="481"/>
      <c r="I266" s="481"/>
      <c r="J266" s="481"/>
      <c r="K266" s="481"/>
      <c r="L266" s="481"/>
      <c r="M266" s="481"/>
      <c r="N266" s="632"/>
      <c r="O266" s="632"/>
      <c r="P266" s="632"/>
      <c r="Q266" s="632"/>
      <c r="R266" s="632"/>
      <c r="S266" s="632"/>
      <c r="T266" s="632"/>
      <c r="U266" s="632"/>
      <c r="V266" s="632"/>
      <c r="W266" s="632"/>
      <c r="X266" s="632"/>
      <c r="Y266" s="632"/>
      <c r="Z266" s="632"/>
      <c r="AA266" s="632"/>
      <c r="AB266" s="632"/>
      <c r="AC266" s="632"/>
      <c r="AD266" s="632"/>
    </row>
    <row r="267" spans="1:30">
      <c r="A267" s="481"/>
      <c r="B267" s="481"/>
      <c r="C267" s="481"/>
      <c r="D267" s="481"/>
      <c r="E267" s="481"/>
      <c r="F267" s="481"/>
      <c r="G267" s="481"/>
      <c r="H267" s="481"/>
      <c r="I267" s="481"/>
      <c r="J267" s="481"/>
      <c r="K267" s="481"/>
      <c r="L267" s="481"/>
      <c r="M267" s="481"/>
      <c r="N267" s="632"/>
      <c r="O267" s="632"/>
      <c r="P267" s="632"/>
      <c r="Q267" s="632"/>
      <c r="R267" s="632"/>
      <c r="S267" s="632"/>
      <c r="T267" s="632"/>
      <c r="U267" s="632"/>
      <c r="V267" s="632"/>
      <c r="W267" s="632"/>
      <c r="X267" s="632"/>
      <c r="Y267" s="632"/>
      <c r="Z267" s="632"/>
      <c r="AA267" s="632"/>
      <c r="AB267" s="632"/>
      <c r="AC267" s="632"/>
      <c r="AD267" s="632"/>
    </row>
    <row r="268" spans="1:30">
      <c r="A268" s="481"/>
      <c r="B268" s="481"/>
      <c r="C268" s="481"/>
      <c r="D268" s="481"/>
      <c r="E268" s="481"/>
      <c r="F268" s="481"/>
      <c r="G268" s="481"/>
      <c r="H268" s="481"/>
      <c r="I268" s="481"/>
      <c r="J268" s="481"/>
      <c r="K268" s="481"/>
      <c r="L268" s="481"/>
      <c r="M268" s="481"/>
      <c r="N268" s="632"/>
      <c r="O268" s="632"/>
      <c r="P268" s="632"/>
      <c r="Q268" s="632"/>
      <c r="R268" s="632"/>
      <c r="S268" s="632"/>
      <c r="T268" s="632"/>
      <c r="U268" s="632"/>
      <c r="V268" s="632"/>
      <c r="W268" s="632"/>
      <c r="X268" s="632"/>
      <c r="Y268" s="632"/>
      <c r="Z268" s="632"/>
      <c r="AA268" s="632"/>
      <c r="AB268" s="632"/>
      <c r="AC268" s="632"/>
      <c r="AD268" s="632"/>
    </row>
    <row r="269" spans="1:30">
      <c r="A269" s="481"/>
      <c r="B269" s="481"/>
      <c r="C269" s="481"/>
      <c r="D269" s="481"/>
      <c r="E269" s="481"/>
      <c r="F269" s="481"/>
      <c r="G269" s="481"/>
      <c r="H269" s="481"/>
      <c r="I269" s="481"/>
      <c r="J269" s="481"/>
      <c r="K269" s="481"/>
      <c r="L269" s="481"/>
      <c r="M269" s="481"/>
      <c r="N269" s="632"/>
      <c r="O269" s="632"/>
      <c r="P269" s="632"/>
      <c r="Q269" s="632"/>
      <c r="R269" s="632"/>
      <c r="S269" s="632"/>
      <c r="T269" s="632"/>
      <c r="U269" s="632"/>
      <c r="V269" s="632"/>
      <c r="W269" s="632"/>
      <c r="X269" s="632"/>
      <c r="Y269" s="632"/>
      <c r="Z269" s="632"/>
      <c r="AA269" s="632"/>
      <c r="AB269" s="632"/>
      <c r="AC269" s="632"/>
      <c r="AD269" s="632"/>
    </row>
    <row r="270" spans="1:30">
      <c r="A270" s="481"/>
      <c r="B270" s="481"/>
      <c r="C270" s="481"/>
      <c r="D270" s="481"/>
      <c r="E270" s="481"/>
      <c r="F270" s="481"/>
      <c r="G270" s="481"/>
      <c r="H270" s="481"/>
      <c r="I270" s="481"/>
      <c r="J270" s="481"/>
      <c r="K270" s="481"/>
      <c r="L270" s="481"/>
      <c r="M270" s="481"/>
      <c r="N270" s="632"/>
      <c r="O270" s="632"/>
      <c r="P270" s="632"/>
      <c r="Q270" s="632"/>
      <c r="R270" s="632"/>
      <c r="S270" s="632"/>
      <c r="T270" s="632"/>
      <c r="U270" s="632"/>
      <c r="V270" s="632"/>
      <c r="W270" s="632"/>
      <c r="X270" s="632"/>
      <c r="Y270" s="632"/>
      <c r="Z270" s="632"/>
      <c r="AA270" s="632"/>
      <c r="AB270" s="632"/>
      <c r="AC270" s="632"/>
      <c r="AD270" s="632"/>
    </row>
    <row r="271" spans="1:30">
      <c r="A271" s="481"/>
      <c r="B271" s="481"/>
      <c r="C271" s="481"/>
      <c r="D271" s="481"/>
      <c r="E271" s="481"/>
      <c r="F271" s="481"/>
      <c r="G271" s="481"/>
      <c r="H271" s="481"/>
      <c r="I271" s="481"/>
      <c r="J271" s="481"/>
      <c r="K271" s="481"/>
      <c r="L271" s="481"/>
      <c r="M271" s="481"/>
      <c r="N271" s="632"/>
      <c r="O271" s="632"/>
      <c r="P271" s="632"/>
      <c r="Q271" s="632"/>
      <c r="R271" s="632"/>
      <c r="S271" s="632"/>
      <c r="T271" s="632"/>
      <c r="U271" s="632"/>
      <c r="V271" s="632"/>
      <c r="W271" s="632"/>
      <c r="X271" s="632"/>
      <c r="Y271" s="632"/>
      <c r="Z271" s="632"/>
      <c r="AA271" s="632"/>
      <c r="AB271" s="632"/>
      <c r="AC271" s="632"/>
      <c r="AD271" s="632"/>
    </row>
    <row r="272" spans="1:30">
      <c r="A272" s="481"/>
      <c r="B272" s="481"/>
      <c r="C272" s="481"/>
      <c r="D272" s="481"/>
      <c r="E272" s="481"/>
      <c r="F272" s="481"/>
      <c r="G272" s="481"/>
      <c r="H272" s="481"/>
      <c r="I272" s="481"/>
      <c r="J272" s="481"/>
      <c r="K272" s="481"/>
      <c r="L272" s="481"/>
      <c r="M272" s="481"/>
      <c r="N272" s="632"/>
      <c r="O272" s="632"/>
      <c r="P272" s="632"/>
      <c r="Q272" s="632"/>
      <c r="R272" s="632"/>
      <c r="S272" s="632"/>
      <c r="T272" s="632"/>
      <c r="U272" s="632"/>
      <c r="V272" s="632"/>
      <c r="W272" s="632"/>
      <c r="X272" s="632"/>
      <c r="Y272" s="632"/>
      <c r="Z272" s="632"/>
      <c r="AA272" s="632"/>
      <c r="AB272" s="632"/>
      <c r="AC272" s="632"/>
      <c r="AD272" s="632"/>
    </row>
    <row r="273" spans="1:30">
      <c r="A273" s="481"/>
      <c r="B273" s="481"/>
      <c r="C273" s="481"/>
      <c r="D273" s="481"/>
      <c r="E273" s="481"/>
      <c r="F273" s="481"/>
      <c r="G273" s="481"/>
      <c r="H273" s="481"/>
      <c r="I273" s="481"/>
      <c r="J273" s="481"/>
      <c r="K273" s="481"/>
      <c r="L273" s="481"/>
      <c r="M273" s="481"/>
      <c r="N273" s="632"/>
      <c r="O273" s="632"/>
      <c r="P273" s="632"/>
      <c r="Q273" s="632"/>
      <c r="R273" s="632"/>
      <c r="S273" s="632"/>
      <c r="T273" s="632"/>
      <c r="U273" s="632"/>
      <c r="V273" s="632"/>
      <c r="W273" s="632"/>
      <c r="X273" s="632"/>
      <c r="Y273" s="632"/>
      <c r="Z273" s="632"/>
      <c r="AA273" s="632"/>
      <c r="AB273" s="632"/>
      <c r="AC273" s="632"/>
      <c r="AD273" s="632"/>
    </row>
    <row r="274" spans="1:30">
      <c r="A274" s="481"/>
      <c r="B274" s="481"/>
      <c r="C274" s="481"/>
      <c r="D274" s="481"/>
      <c r="E274" s="481"/>
      <c r="F274" s="481"/>
      <c r="G274" s="481"/>
      <c r="H274" s="481"/>
      <c r="I274" s="481"/>
      <c r="J274" s="481"/>
      <c r="K274" s="481"/>
      <c r="L274" s="481"/>
      <c r="M274" s="481"/>
      <c r="N274" s="632"/>
      <c r="O274" s="632"/>
      <c r="P274" s="632"/>
      <c r="Q274" s="632"/>
      <c r="R274" s="632"/>
      <c r="S274" s="632"/>
      <c r="T274" s="632"/>
      <c r="U274" s="632"/>
      <c r="V274" s="632"/>
      <c r="W274" s="632"/>
      <c r="X274" s="632"/>
      <c r="Y274" s="632"/>
      <c r="Z274" s="632"/>
      <c r="AA274" s="632"/>
      <c r="AB274" s="632"/>
      <c r="AC274" s="632"/>
      <c r="AD274" s="632"/>
    </row>
    <row r="275" spans="1:30">
      <c r="A275" s="481"/>
      <c r="B275" s="481"/>
      <c r="C275" s="481"/>
      <c r="D275" s="481"/>
      <c r="E275" s="481"/>
      <c r="F275" s="481"/>
      <c r="G275" s="481"/>
      <c r="H275" s="481"/>
      <c r="I275" s="481"/>
      <c r="J275" s="481"/>
      <c r="K275" s="481"/>
      <c r="L275" s="481"/>
      <c r="M275" s="481"/>
      <c r="N275" s="632"/>
      <c r="O275" s="632"/>
      <c r="P275" s="632"/>
      <c r="Q275" s="632"/>
      <c r="R275" s="632"/>
      <c r="S275" s="632"/>
      <c r="T275" s="632"/>
      <c r="U275" s="632"/>
      <c r="V275" s="632"/>
      <c r="W275" s="632"/>
      <c r="X275" s="632"/>
      <c r="Y275" s="632"/>
      <c r="Z275" s="632"/>
      <c r="AA275" s="632"/>
      <c r="AB275" s="632"/>
      <c r="AC275" s="632"/>
      <c r="AD275" s="632"/>
    </row>
    <row r="276" spans="1:30">
      <c r="A276" s="481"/>
      <c r="B276" s="481"/>
      <c r="C276" s="481"/>
      <c r="D276" s="481"/>
      <c r="E276" s="481"/>
      <c r="F276" s="481"/>
      <c r="G276" s="481"/>
      <c r="H276" s="481"/>
      <c r="I276" s="481"/>
      <c r="J276" s="481"/>
      <c r="K276" s="481"/>
      <c r="L276" s="481"/>
      <c r="M276" s="481"/>
      <c r="N276" s="632"/>
      <c r="O276" s="632"/>
      <c r="P276" s="632"/>
      <c r="Q276" s="632"/>
      <c r="R276" s="632"/>
      <c r="S276" s="632"/>
      <c r="T276" s="632"/>
      <c r="U276" s="632"/>
      <c r="V276" s="632"/>
      <c r="W276" s="632"/>
      <c r="X276" s="632"/>
      <c r="Y276" s="632"/>
      <c r="Z276" s="632"/>
      <c r="AA276" s="632"/>
      <c r="AB276" s="632"/>
      <c r="AC276" s="632"/>
      <c r="AD276" s="632"/>
    </row>
    <row r="277" spans="1:30">
      <c r="A277" s="481"/>
      <c r="B277" s="481"/>
      <c r="C277" s="481"/>
      <c r="D277" s="481"/>
      <c r="E277" s="481"/>
      <c r="F277" s="481"/>
      <c r="G277" s="481"/>
      <c r="H277" s="481"/>
      <c r="I277" s="481"/>
      <c r="J277" s="481"/>
      <c r="K277" s="481"/>
      <c r="L277" s="481"/>
      <c r="M277" s="481"/>
      <c r="N277" s="632"/>
      <c r="O277" s="632"/>
      <c r="P277" s="632"/>
      <c r="Q277" s="632"/>
      <c r="R277" s="632"/>
      <c r="S277" s="632"/>
      <c r="T277" s="632"/>
      <c r="U277" s="632"/>
      <c r="V277" s="632"/>
      <c r="W277" s="632"/>
      <c r="X277" s="632"/>
      <c r="Y277" s="632"/>
      <c r="Z277" s="632"/>
      <c r="AA277" s="632"/>
      <c r="AB277" s="632"/>
      <c r="AC277" s="632"/>
      <c r="AD277" s="632"/>
    </row>
    <row r="278" spans="1:30">
      <c r="A278" s="481"/>
      <c r="B278" s="481"/>
      <c r="C278" s="481"/>
      <c r="D278" s="481"/>
      <c r="E278" s="481"/>
      <c r="F278" s="481"/>
      <c r="G278" s="481"/>
      <c r="H278" s="481"/>
      <c r="I278" s="481"/>
      <c r="J278" s="481"/>
      <c r="K278" s="481"/>
      <c r="L278" s="481"/>
      <c r="M278" s="481"/>
      <c r="N278" s="632"/>
      <c r="O278" s="632"/>
      <c r="P278" s="632"/>
      <c r="Q278" s="632"/>
      <c r="R278" s="632"/>
      <c r="S278" s="632"/>
      <c r="T278" s="632"/>
      <c r="U278" s="632"/>
      <c r="V278" s="632"/>
      <c r="W278" s="632"/>
      <c r="X278" s="632"/>
      <c r="Y278" s="632"/>
      <c r="Z278" s="632"/>
      <c r="AA278" s="632"/>
      <c r="AB278" s="632"/>
      <c r="AC278" s="632"/>
      <c r="AD278" s="632"/>
    </row>
    <row r="279" spans="1:30">
      <c r="A279" s="481"/>
      <c r="B279" s="481"/>
      <c r="C279" s="481"/>
      <c r="D279" s="481"/>
      <c r="E279" s="481"/>
      <c r="F279" s="481"/>
      <c r="G279" s="481"/>
      <c r="H279" s="481"/>
      <c r="I279" s="481"/>
      <c r="J279" s="481"/>
      <c r="K279" s="481"/>
      <c r="L279" s="481"/>
      <c r="M279" s="481"/>
      <c r="N279" s="632"/>
      <c r="O279" s="632"/>
      <c r="P279" s="632"/>
      <c r="Q279" s="632"/>
      <c r="R279" s="632"/>
      <c r="S279" s="632"/>
      <c r="T279" s="632"/>
      <c r="U279" s="632"/>
      <c r="V279" s="632"/>
      <c r="W279" s="632"/>
      <c r="X279" s="632"/>
      <c r="Y279" s="632"/>
      <c r="Z279" s="632"/>
      <c r="AA279" s="632"/>
      <c r="AB279" s="632"/>
      <c r="AC279" s="632"/>
      <c r="AD279" s="632"/>
    </row>
    <row r="280" spans="1:30">
      <c r="A280" s="481"/>
      <c r="B280" s="481"/>
      <c r="C280" s="481"/>
      <c r="D280" s="481"/>
      <c r="E280" s="481"/>
      <c r="F280" s="481"/>
      <c r="G280" s="481"/>
      <c r="H280" s="481"/>
      <c r="I280" s="481"/>
      <c r="J280" s="481"/>
      <c r="K280" s="481"/>
      <c r="L280" s="481"/>
      <c r="M280" s="481"/>
      <c r="N280" s="632"/>
      <c r="O280" s="632"/>
      <c r="P280" s="632"/>
      <c r="Q280" s="632"/>
      <c r="R280" s="632"/>
      <c r="S280" s="632"/>
      <c r="T280" s="632"/>
      <c r="U280" s="632"/>
      <c r="V280" s="632"/>
      <c r="W280" s="632"/>
      <c r="X280" s="632"/>
      <c r="Y280" s="632"/>
      <c r="Z280" s="632"/>
      <c r="AA280" s="632"/>
      <c r="AB280" s="632"/>
      <c r="AC280" s="632"/>
      <c r="AD280" s="632"/>
    </row>
    <row r="281" spans="1:30">
      <c r="A281" s="481"/>
      <c r="B281" s="481"/>
      <c r="C281" s="481"/>
      <c r="D281" s="481"/>
      <c r="E281" s="481"/>
      <c r="F281" s="481"/>
      <c r="G281" s="481"/>
      <c r="H281" s="481"/>
      <c r="I281" s="481"/>
      <c r="J281" s="481"/>
      <c r="K281" s="481"/>
      <c r="L281" s="481"/>
      <c r="M281" s="481"/>
      <c r="N281" s="632"/>
      <c r="O281" s="632"/>
      <c r="P281" s="632"/>
      <c r="Q281" s="632"/>
      <c r="R281" s="632"/>
      <c r="S281" s="632"/>
      <c r="T281" s="632"/>
      <c r="U281" s="632"/>
      <c r="V281" s="632"/>
      <c r="W281" s="632"/>
      <c r="X281" s="632"/>
      <c r="Y281" s="632"/>
      <c r="Z281" s="632"/>
      <c r="AA281" s="632"/>
      <c r="AB281" s="632"/>
      <c r="AC281" s="632"/>
      <c r="AD281" s="632"/>
    </row>
    <row r="282" spans="1:30">
      <c r="A282" s="481"/>
      <c r="B282" s="481"/>
      <c r="C282" s="481"/>
      <c r="D282" s="481"/>
      <c r="E282" s="481"/>
      <c r="F282" s="481"/>
      <c r="G282" s="481"/>
      <c r="H282" s="481"/>
      <c r="I282" s="481"/>
      <c r="J282" s="481"/>
      <c r="K282" s="481"/>
      <c r="L282" s="481"/>
      <c r="M282" s="481"/>
      <c r="N282" s="632"/>
      <c r="O282" s="632"/>
      <c r="P282" s="632"/>
      <c r="Q282" s="632"/>
      <c r="R282" s="632"/>
      <c r="S282" s="632"/>
      <c r="T282" s="632"/>
      <c r="U282" s="632"/>
      <c r="V282" s="632"/>
      <c r="W282" s="632"/>
      <c r="X282" s="632"/>
      <c r="Y282" s="632"/>
      <c r="Z282" s="632"/>
      <c r="AA282" s="632"/>
      <c r="AB282" s="632"/>
      <c r="AC282" s="632"/>
      <c r="AD282" s="632"/>
    </row>
    <row r="283" spans="1:30">
      <c r="A283" s="481"/>
      <c r="B283" s="481"/>
      <c r="C283" s="481"/>
      <c r="D283" s="481"/>
      <c r="E283" s="481"/>
      <c r="F283" s="481"/>
      <c r="G283" s="481"/>
      <c r="H283" s="481"/>
      <c r="I283" s="481"/>
      <c r="J283" s="481"/>
      <c r="K283" s="481"/>
      <c r="L283" s="481"/>
      <c r="M283" s="481"/>
      <c r="N283" s="632"/>
      <c r="O283" s="632"/>
      <c r="P283" s="632"/>
      <c r="Q283" s="632"/>
      <c r="R283" s="632"/>
      <c r="S283" s="632"/>
      <c r="T283" s="632"/>
      <c r="U283" s="632"/>
      <c r="V283" s="632"/>
      <c r="W283" s="632"/>
      <c r="X283" s="632"/>
      <c r="Y283" s="632"/>
      <c r="Z283" s="632"/>
      <c r="AA283" s="632"/>
      <c r="AB283" s="632"/>
      <c r="AC283" s="632"/>
      <c r="AD283" s="632"/>
    </row>
    <row r="284" spans="1:30">
      <c r="A284" s="481"/>
      <c r="B284" s="481"/>
      <c r="C284" s="481"/>
      <c r="D284" s="481"/>
      <c r="E284" s="481"/>
      <c r="F284" s="481"/>
      <c r="G284" s="481"/>
      <c r="H284" s="481"/>
      <c r="I284" s="481"/>
      <c r="J284" s="481"/>
      <c r="K284" s="481"/>
      <c r="L284" s="481"/>
      <c r="M284" s="481"/>
      <c r="N284" s="632"/>
      <c r="O284" s="632"/>
      <c r="P284" s="632"/>
      <c r="Q284" s="632"/>
      <c r="R284" s="632"/>
      <c r="S284" s="632"/>
      <c r="T284" s="632"/>
      <c r="U284" s="632"/>
      <c r="V284" s="632"/>
      <c r="W284" s="632"/>
      <c r="X284" s="632"/>
      <c r="Y284" s="632"/>
      <c r="Z284" s="632"/>
      <c r="AA284" s="632"/>
      <c r="AB284" s="632"/>
      <c r="AC284" s="632"/>
      <c r="AD284" s="632"/>
    </row>
    <row r="285" spans="1:30">
      <c r="A285" s="481"/>
      <c r="B285" s="481"/>
      <c r="C285" s="481"/>
      <c r="D285" s="481"/>
      <c r="E285" s="481"/>
      <c r="F285" s="481"/>
      <c r="G285" s="481"/>
      <c r="H285" s="481"/>
      <c r="I285" s="481"/>
      <c r="J285" s="481"/>
      <c r="K285" s="481"/>
      <c r="L285" s="481"/>
      <c r="M285" s="481"/>
      <c r="N285" s="632"/>
      <c r="O285" s="632"/>
      <c r="P285" s="632"/>
      <c r="Q285" s="632"/>
      <c r="R285" s="632"/>
      <c r="S285" s="632"/>
      <c r="T285" s="632"/>
      <c r="U285" s="632"/>
      <c r="V285" s="632"/>
      <c r="W285" s="632"/>
      <c r="X285" s="632"/>
      <c r="Y285" s="632"/>
      <c r="Z285" s="632"/>
      <c r="AA285" s="632"/>
      <c r="AB285" s="632"/>
      <c r="AC285" s="632"/>
      <c r="AD285" s="632"/>
    </row>
    <row r="286" spans="1:30">
      <c r="A286" s="481"/>
      <c r="B286" s="481"/>
      <c r="C286" s="481"/>
      <c r="D286" s="481"/>
      <c r="E286" s="481"/>
      <c r="F286" s="481"/>
      <c r="G286" s="481"/>
      <c r="H286" s="481"/>
      <c r="I286" s="481"/>
      <c r="J286" s="481"/>
      <c r="K286" s="481"/>
      <c r="L286" s="481"/>
      <c r="M286" s="481"/>
      <c r="N286" s="632"/>
      <c r="O286" s="632"/>
      <c r="P286" s="632"/>
      <c r="Q286" s="632"/>
      <c r="R286" s="632"/>
      <c r="S286" s="632"/>
      <c r="T286" s="632"/>
      <c r="U286" s="632"/>
      <c r="V286" s="632"/>
      <c r="W286" s="632"/>
      <c r="X286" s="632"/>
      <c r="Y286" s="632"/>
      <c r="Z286" s="632"/>
      <c r="AA286" s="632"/>
      <c r="AB286" s="632"/>
      <c r="AC286" s="632"/>
      <c r="AD286" s="632"/>
    </row>
    <row r="287" spans="1:30">
      <c r="A287" s="481"/>
      <c r="B287" s="481"/>
      <c r="C287" s="481"/>
      <c r="D287" s="481"/>
      <c r="E287" s="481"/>
      <c r="F287" s="481"/>
      <c r="G287" s="481"/>
      <c r="H287" s="481"/>
      <c r="I287" s="481"/>
      <c r="J287" s="481"/>
      <c r="K287" s="481"/>
      <c r="L287" s="481"/>
      <c r="M287" s="481"/>
      <c r="N287" s="632"/>
      <c r="O287" s="632"/>
      <c r="P287" s="632"/>
      <c r="Q287" s="632"/>
      <c r="R287" s="632"/>
      <c r="S287" s="632"/>
      <c r="T287" s="632"/>
      <c r="U287" s="632"/>
      <c r="V287" s="632"/>
      <c r="W287" s="632"/>
      <c r="X287" s="632"/>
      <c r="Y287" s="632"/>
      <c r="Z287" s="632"/>
      <c r="AA287" s="632"/>
      <c r="AB287" s="632"/>
      <c r="AC287" s="632"/>
      <c r="AD287" s="632"/>
    </row>
    <row r="288" spans="1:30">
      <c r="A288" s="481"/>
      <c r="B288" s="481"/>
      <c r="C288" s="481"/>
      <c r="D288" s="481"/>
      <c r="E288" s="481"/>
      <c r="F288" s="481"/>
      <c r="G288" s="481"/>
      <c r="H288" s="481"/>
      <c r="I288" s="481"/>
      <c r="J288" s="481"/>
      <c r="K288" s="481"/>
      <c r="L288" s="481"/>
      <c r="M288" s="481"/>
      <c r="N288" s="632"/>
      <c r="O288" s="632"/>
      <c r="P288" s="632"/>
      <c r="Q288" s="632"/>
      <c r="R288" s="632"/>
      <c r="S288" s="632"/>
      <c r="T288" s="632"/>
      <c r="U288" s="632"/>
      <c r="V288" s="632"/>
      <c r="W288" s="632"/>
      <c r="X288" s="632"/>
      <c r="Y288" s="632"/>
      <c r="Z288" s="632"/>
      <c r="AA288" s="632"/>
      <c r="AB288" s="632"/>
      <c r="AC288" s="632"/>
      <c r="AD288" s="632"/>
    </row>
    <row r="289" spans="1:30">
      <c r="A289" s="481"/>
      <c r="B289" s="481"/>
      <c r="C289" s="481"/>
      <c r="D289" s="481"/>
      <c r="E289" s="481"/>
      <c r="F289" s="481"/>
      <c r="G289" s="481"/>
      <c r="H289" s="481"/>
      <c r="I289" s="481"/>
      <c r="J289" s="481"/>
      <c r="K289" s="481"/>
      <c r="L289" s="481"/>
      <c r="M289" s="481"/>
      <c r="N289" s="632"/>
      <c r="O289" s="632"/>
      <c r="P289" s="632"/>
      <c r="Q289" s="632"/>
      <c r="R289" s="632"/>
      <c r="S289" s="632"/>
      <c r="T289" s="632"/>
      <c r="U289" s="632"/>
      <c r="V289" s="632"/>
      <c r="W289" s="632"/>
      <c r="X289" s="632"/>
      <c r="Y289" s="632"/>
      <c r="Z289" s="632"/>
      <c r="AA289" s="632"/>
      <c r="AB289" s="632"/>
      <c r="AC289" s="632"/>
      <c r="AD289" s="632"/>
    </row>
    <row r="290" spans="1:30">
      <c r="A290" s="481"/>
      <c r="B290" s="481"/>
      <c r="C290" s="481"/>
      <c r="D290" s="481"/>
      <c r="E290" s="481"/>
      <c r="F290" s="481"/>
      <c r="G290" s="481"/>
      <c r="H290" s="481"/>
      <c r="I290" s="481"/>
      <c r="J290" s="481"/>
      <c r="K290" s="481"/>
      <c r="L290" s="481"/>
      <c r="M290" s="481"/>
      <c r="N290" s="632"/>
      <c r="O290" s="632"/>
      <c r="P290" s="632"/>
      <c r="Q290" s="632"/>
      <c r="R290" s="632"/>
      <c r="S290" s="632"/>
      <c r="T290" s="632"/>
      <c r="U290" s="632"/>
      <c r="V290" s="632"/>
      <c r="W290" s="632"/>
      <c r="X290" s="632"/>
      <c r="Y290" s="632"/>
      <c r="Z290" s="632"/>
      <c r="AA290" s="632"/>
      <c r="AB290" s="632"/>
      <c r="AC290" s="632"/>
      <c r="AD290" s="632"/>
    </row>
    <row r="291" spans="1:30">
      <c r="A291" s="481"/>
      <c r="B291" s="481"/>
      <c r="C291" s="481"/>
      <c r="D291" s="481"/>
      <c r="E291" s="481"/>
      <c r="F291" s="481"/>
      <c r="G291" s="481"/>
      <c r="H291" s="481"/>
      <c r="I291" s="481"/>
      <c r="J291" s="481"/>
      <c r="K291" s="481"/>
      <c r="L291" s="481"/>
      <c r="M291" s="481"/>
      <c r="N291" s="632"/>
      <c r="O291" s="632"/>
      <c r="P291" s="632"/>
      <c r="Q291" s="632"/>
      <c r="R291" s="632"/>
      <c r="S291" s="632"/>
      <c r="T291" s="632"/>
      <c r="U291" s="632"/>
      <c r="V291" s="632"/>
      <c r="W291" s="632"/>
      <c r="X291" s="632"/>
      <c r="Y291" s="632"/>
      <c r="Z291" s="632"/>
      <c r="AA291" s="632"/>
      <c r="AB291" s="632"/>
      <c r="AC291" s="632"/>
      <c r="AD291" s="632"/>
    </row>
    <row r="292" spans="1:30">
      <c r="A292" s="481"/>
      <c r="B292" s="481"/>
      <c r="C292" s="481"/>
      <c r="D292" s="481"/>
      <c r="E292" s="481"/>
      <c r="F292" s="481"/>
      <c r="G292" s="481"/>
      <c r="H292" s="481"/>
      <c r="I292" s="481"/>
      <c r="J292" s="481"/>
      <c r="K292" s="481"/>
      <c r="L292" s="481"/>
      <c r="M292" s="481"/>
      <c r="N292" s="632"/>
      <c r="O292" s="632"/>
      <c r="P292" s="632"/>
      <c r="Q292" s="632"/>
      <c r="R292" s="632"/>
      <c r="S292" s="632"/>
      <c r="T292" s="632"/>
      <c r="U292" s="632"/>
      <c r="V292" s="632"/>
      <c r="W292" s="632"/>
      <c r="X292" s="632"/>
      <c r="Y292" s="632"/>
      <c r="Z292" s="632"/>
      <c r="AA292" s="632"/>
      <c r="AB292" s="632"/>
      <c r="AC292" s="632"/>
      <c r="AD292" s="632"/>
    </row>
    <row r="293" spans="1:30">
      <c r="A293" s="481"/>
      <c r="B293" s="481"/>
      <c r="C293" s="481"/>
      <c r="D293" s="481"/>
      <c r="E293" s="481"/>
      <c r="F293" s="481"/>
      <c r="G293" s="481"/>
      <c r="H293" s="481"/>
      <c r="I293" s="481"/>
      <c r="J293" s="481"/>
      <c r="K293" s="481"/>
      <c r="L293" s="481"/>
      <c r="M293" s="481"/>
      <c r="N293" s="632"/>
      <c r="O293" s="632"/>
      <c r="P293" s="632"/>
      <c r="Q293" s="632"/>
      <c r="R293" s="632"/>
      <c r="S293" s="632"/>
      <c r="T293" s="632"/>
      <c r="U293" s="632"/>
      <c r="V293" s="632"/>
      <c r="W293" s="632"/>
      <c r="X293" s="632"/>
      <c r="Y293" s="632"/>
      <c r="Z293" s="632"/>
      <c r="AA293" s="632"/>
      <c r="AB293" s="632"/>
      <c r="AC293" s="632"/>
      <c r="AD293" s="632"/>
    </row>
    <row r="294" spans="1:30">
      <c r="A294" s="481"/>
      <c r="B294" s="481"/>
      <c r="C294" s="481"/>
      <c r="D294" s="481"/>
      <c r="E294" s="481"/>
      <c r="F294" s="481"/>
      <c r="G294" s="481"/>
      <c r="H294" s="481"/>
      <c r="I294" s="481"/>
      <c r="J294" s="481"/>
      <c r="K294" s="481"/>
      <c r="L294" s="481"/>
      <c r="M294" s="481"/>
      <c r="N294" s="632"/>
      <c r="O294" s="632"/>
      <c r="P294" s="632"/>
      <c r="Q294" s="632"/>
      <c r="R294" s="632"/>
      <c r="S294" s="632"/>
      <c r="T294" s="632"/>
      <c r="U294" s="632"/>
      <c r="V294" s="632"/>
      <c r="W294" s="632"/>
      <c r="X294" s="632"/>
      <c r="Y294" s="632"/>
      <c r="Z294" s="632"/>
      <c r="AA294" s="632"/>
      <c r="AB294" s="632"/>
      <c r="AC294" s="632"/>
      <c r="AD294" s="632"/>
    </row>
    <row r="295" spans="1:30">
      <c r="A295" s="481"/>
      <c r="B295" s="481"/>
      <c r="C295" s="481"/>
      <c r="D295" s="481"/>
      <c r="E295" s="481"/>
      <c r="F295" s="481"/>
      <c r="G295" s="481"/>
      <c r="H295" s="481"/>
      <c r="I295" s="481"/>
      <c r="J295" s="481"/>
      <c r="K295" s="481"/>
      <c r="L295" s="481"/>
      <c r="M295" s="481"/>
      <c r="N295" s="632"/>
      <c r="O295" s="632"/>
      <c r="P295" s="632"/>
      <c r="Q295" s="632"/>
      <c r="R295" s="632"/>
      <c r="S295" s="632"/>
      <c r="T295" s="632"/>
      <c r="U295" s="632"/>
      <c r="V295" s="632"/>
      <c r="W295" s="632"/>
      <c r="X295" s="632"/>
      <c r="Y295" s="632"/>
      <c r="Z295" s="632"/>
      <c r="AA295" s="632"/>
      <c r="AB295" s="632"/>
      <c r="AC295" s="632"/>
      <c r="AD295" s="632"/>
    </row>
    <row r="296" spans="1:30">
      <c r="A296" s="481"/>
    </row>
  </sheetData>
  <sheetProtection selectLockedCells="1"/>
  <mergeCells count="66">
    <mergeCell ref="D6:M6"/>
    <mergeCell ref="D8:M8"/>
    <mergeCell ref="D15:M15"/>
    <mergeCell ref="D16:M16"/>
    <mergeCell ref="C27:M27"/>
    <mergeCell ref="D21:M21"/>
    <mergeCell ref="C22:I22"/>
    <mergeCell ref="J22:M22"/>
    <mergeCell ref="D12:E12"/>
    <mergeCell ref="C23:M23"/>
    <mergeCell ref="C24:M24"/>
    <mergeCell ref="C26:M26"/>
    <mergeCell ref="C25:L25"/>
    <mergeCell ref="F37:L37"/>
    <mergeCell ref="A1:M1"/>
    <mergeCell ref="A2:M2"/>
    <mergeCell ref="B3:M3"/>
    <mergeCell ref="D20:M20"/>
    <mergeCell ref="D17:M17"/>
    <mergeCell ref="D18:M18"/>
    <mergeCell ref="D19:M19"/>
    <mergeCell ref="D11:M11"/>
    <mergeCell ref="D13:M13"/>
    <mergeCell ref="D14:M14"/>
    <mergeCell ref="D4:M4"/>
    <mergeCell ref="D5:M5"/>
    <mergeCell ref="D7:M7"/>
    <mergeCell ref="D9:M9"/>
    <mergeCell ref="D10:M10"/>
    <mergeCell ref="C51:D51"/>
    <mergeCell ref="A42:A54"/>
    <mergeCell ref="A23:A26"/>
    <mergeCell ref="A27:A29"/>
    <mergeCell ref="F41:L41"/>
    <mergeCell ref="F40:L40"/>
    <mergeCell ref="C29:M29"/>
    <mergeCell ref="C42:D42"/>
    <mergeCell ref="C43:D43"/>
    <mergeCell ref="C44:D44"/>
    <mergeCell ref="C45:D45"/>
    <mergeCell ref="C46:D46"/>
    <mergeCell ref="A30:A41"/>
    <mergeCell ref="B30:B31"/>
    <mergeCell ref="F34:L34"/>
    <mergeCell ref="F36:L36"/>
    <mergeCell ref="A84:G84"/>
    <mergeCell ref="C28:M28"/>
    <mergeCell ref="F38:L38"/>
    <mergeCell ref="F39:L39"/>
    <mergeCell ref="C52:D52"/>
    <mergeCell ref="C53:D53"/>
    <mergeCell ref="C30:D30"/>
    <mergeCell ref="E30:M30"/>
    <mergeCell ref="F31:L31"/>
    <mergeCell ref="F32:L32"/>
    <mergeCell ref="F33:L33"/>
    <mergeCell ref="C54:D54"/>
    <mergeCell ref="C47:D47"/>
    <mergeCell ref="C48:D48"/>
    <mergeCell ref="C49:D49"/>
    <mergeCell ref="C50:D50"/>
    <mergeCell ref="A56:G56"/>
    <mergeCell ref="A55:G55"/>
    <mergeCell ref="A57:G57"/>
    <mergeCell ref="A66:G66"/>
    <mergeCell ref="A67:G67"/>
  </mergeCells>
  <phoneticPr fontId="35" type="noConversion"/>
  <dataValidations count="2">
    <dataValidation type="list" allowBlank="1" showInputMessage="1" showErrorMessage="1" sqref="C42:D43 H42:M43">
      <formula1>"O.K (AVAILABLE),OUT (NOT AVAILABLE)"</formula1>
    </dataValidation>
    <dataValidation type="list" allowBlank="1" showInputMessage="1" showErrorMessage="1" sqref="C44:D54 H44:M54">
      <formula1>"O.K (AVAILABLE),NOT (AVAILABLE)"</formula1>
    </dataValidation>
  </dataValidations>
  <pageMargins left="0.7" right="0.7" top="0.75" bottom="0.75" header="0.3" footer="0.3"/>
  <pageSetup scale="31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3"/>
  <sheetViews>
    <sheetView topLeftCell="A4" workbookViewId="0">
      <selection activeCell="B6" sqref="B6"/>
    </sheetView>
  </sheetViews>
  <sheetFormatPr defaultColWidth="8.7109375" defaultRowHeight="18" customHeight="1"/>
  <cols>
    <col min="1" max="1" width="22.42578125" style="605" customWidth="1"/>
    <col min="2" max="2" width="31.28515625" style="605" bestFit="1" customWidth="1"/>
    <col min="3" max="4" width="22.42578125" style="605" customWidth="1"/>
    <col min="5" max="5" width="18.42578125" bestFit="1" customWidth="1"/>
  </cols>
  <sheetData>
    <row r="1" spans="1:5" ht="18" customHeight="1">
      <c r="A1" s="609" t="s">
        <v>569</v>
      </c>
      <c r="B1" s="609" t="s">
        <v>573</v>
      </c>
      <c r="C1" s="609" t="s">
        <v>571</v>
      </c>
      <c r="D1" s="609" t="s">
        <v>572</v>
      </c>
      <c r="E1" s="610" t="s">
        <v>570</v>
      </c>
    </row>
    <row r="2" spans="1:5" ht="18" customHeight="1">
      <c r="A2" s="606" t="s">
        <v>83</v>
      </c>
      <c r="B2" s="612">
        <f>'AVAILABILITY DASHBOARD'!M6</f>
        <v>10</v>
      </c>
      <c r="C2" s="611">
        <f>24-'AVAILABILITY DASHBOARD'!H6</f>
        <v>24</v>
      </c>
      <c r="D2" s="611">
        <f>B2/C2</f>
        <v>0.41666666666666669</v>
      </c>
      <c r="E2" s="613">
        <f>(1-D2)*100</f>
        <v>58.333333333333329</v>
      </c>
    </row>
    <row r="3" spans="1:5" ht="18" customHeight="1">
      <c r="A3" s="606" t="s">
        <v>84</v>
      </c>
      <c r="B3" s="612">
        <f>'AVAILABILITY DASHBOARD'!M7</f>
        <v>0</v>
      </c>
      <c r="C3" s="611">
        <f>24-'AVAILABILITY DASHBOARD'!H7</f>
        <v>24</v>
      </c>
      <c r="D3" s="611">
        <f t="shared" ref="D3:D66" si="0">B3/C3</f>
        <v>0</v>
      </c>
      <c r="E3" s="613">
        <f t="shared" ref="E3:E66" si="1">(1-D3)*100</f>
        <v>100</v>
      </c>
    </row>
    <row r="4" spans="1:5" ht="18" customHeight="1">
      <c r="A4" s="606" t="s">
        <v>85</v>
      </c>
      <c r="B4" s="612">
        <f>'AVAILABILITY DASHBOARD'!M8</f>
        <v>0</v>
      </c>
      <c r="C4" s="611">
        <f>24-'AVAILABILITY DASHBOARD'!H8</f>
        <v>24</v>
      </c>
      <c r="D4" s="611">
        <f t="shared" si="0"/>
        <v>0</v>
      </c>
      <c r="E4" s="613">
        <f t="shared" si="1"/>
        <v>100</v>
      </c>
    </row>
    <row r="5" spans="1:5" ht="18" customHeight="1">
      <c r="A5" s="606" t="s">
        <v>86</v>
      </c>
      <c r="B5" s="612">
        <f>'AVAILABILITY DASHBOARD'!M9</f>
        <v>0</v>
      </c>
      <c r="C5" s="611">
        <f>24-'AVAILABILITY DASHBOARD'!H9</f>
        <v>24</v>
      </c>
      <c r="D5" s="611">
        <f t="shared" si="0"/>
        <v>0</v>
      </c>
      <c r="E5" s="613">
        <f t="shared" si="1"/>
        <v>100</v>
      </c>
    </row>
    <row r="6" spans="1:5" ht="18" customHeight="1">
      <c r="A6" s="606" t="s">
        <v>87</v>
      </c>
      <c r="B6" s="612">
        <f>'AVAILABILITY DASHBOARD'!M10</f>
        <v>3</v>
      </c>
      <c r="C6" s="611">
        <f>24-'AVAILABILITY DASHBOARD'!H10</f>
        <v>23.961805555555557</v>
      </c>
      <c r="D6" s="611">
        <f t="shared" si="0"/>
        <v>0.12519924648601652</v>
      </c>
      <c r="E6" s="613">
        <f t="shared" si="1"/>
        <v>87.480075351398341</v>
      </c>
    </row>
    <row r="7" spans="1:5" ht="18" customHeight="1">
      <c r="A7" s="606" t="s">
        <v>88</v>
      </c>
      <c r="B7" s="612">
        <f>'AVAILABILITY DASHBOARD'!M11</f>
        <v>0</v>
      </c>
      <c r="C7" s="611">
        <f>24-'AVAILABILITY DASHBOARD'!H11</f>
        <v>24</v>
      </c>
      <c r="D7" s="611">
        <f t="shared" si="0"/>
        <v>0</v>
      </c>
      <c r="E7" s="613">
        <f t="shared" si="1"/>
        <v>100</v>
      </c>
    </row>
    <row r="8" spans="1:5" ht="18" customHeight="1">
      <c r="A8" s="606" t="s">
        <v>89</v>
      </c>
      <c r="B8" s="612">
        <f>'AVAILABILITY DASHBOARD'!M12</f>
        <v>0</v>
      </c>
      <c r="C8" s="611">
        <f>24-'AVAILABILITY DASHBOARD'!H12</f>
        <v>24</v>
      </c>
      <c r="D8" s="611">
        <f t="shared" si="0"/>
        <v>0</v>
      </c>
      <c r="E8" s="613">
        <f t="shared" si="1"/>
        <v>100</v>
      </c>
    </row>
    <row r="9" spans="1:5" ht="18" customHeight="1">
      <c r="A9" s="606" t="s">
        <v>90</v>
      </c>
      <c r="B9" s="612">
        <f>'AVAILABILITY DASHBOARD'!M13</f>
        <v>5</v>
      </c>
      <c r="C9" s="611">
        <f>24-'AVAILABILITY DASHBOARD'!H13</f>
        <v>23.809027777777779</v>
      </c>
      <c r="D9" s="611">
        <f t="shared" si="0"/>
        <v>0.21000437509114772</v>
      </c>
      <c r="E9" s="613">
        <f t="shared" si="1"/>
        <v>78.999562490885225</v>
      </c>
    </row>
    <row r="10" spans="1:5" ht="18" customHeight="1">
      <c r="A10" s="606" t="s">
        <v>91</v>
      </c>
      <c r="B10" s="612">
        <f>'AVAILABILITY DASHBOARD'!M14</f>
        <v>3</v>
      </c>
      <c r="C10" s="611">
        <f>24-'AVAILABILITY DASHBOARD'!H14</f>
        <v>23.954861111111111</v>
      </c>
      <c r="D10" s="611">
        <f t="shared" si="0"/>
        <v>0.1252355413828091</v>
      </c>
      <c r="E10" s="613">
        <f t="shared" si="1"/>
        <v>87.476445861719085</v>
      </c>
    </row>
    <row r="11" spans="1:5" ht="18" customHeight="1">
      <c r="A11" s="606" t="s">
        <v>92</v>
      </c>
      <c r="B11" s="612">
        <f>'AVAILABILITY DASHBOARD'!M15</f>
        <v>2</v>
      </c>
      <c r="C11" s="611">
        <f>24-'AVAILABILITY DASHBOARD'!H15</f>
        <v>23.586805555555557</v>
      </c>
      <c r="D11" s="611">
        <f t="shared" si="0"/>
        <v>8.4793169439128513E-2</v>
      </c>
      <c r="E11" s="613">
        <f t="shared" si="1"/>
        <v>91.520683056087151</v>
      </c>
    </row>
    <row r="12" spans="1:5" ht="18" customHeight="1">
      <c r="A12" s="606" t="s">
        <v>93</v>
      </c>
      <c r="B12" s="612">
        <f>'AVAILABILITY DASHBOARD'!M16</f>
        <v>2</v>
      </c>
      <c r="C12" s="611">
        <f>24-'AVAILABILITY DASHBOARD'!H16</f>
        <v>23.517361111111111</v>
      </c>
      <c r="D12" s="611">
        <f t="shared" si="0"/>
        <v>8.5043555293075446E-2</v>
      </c>
      <c r="E12" s="613">
        <f t="shared" si="1"/>
        <v>91.495644470692454</v>
      </c>
    </row>
    <row r="13" spans="1:5" ht="18" customHeight="1">
      <c r="A13" s="606" t="s">
        <v>94</v>
      </c>
      <c r="B13" s="612">
        <f>'AVAILABILITY DASHBOARD'!M17</f>
        <v>0</v>
      </c>
      <c r="C13" s="611">
        <f>24-'AVAILABILITY DASHBOARD'!H17</f>
        <v>24</v>
      </c>
      <c r="D13" s="611">
        <f t="shared" si="0"/>
        <v>0</v>
      </c>
      <c r="E13" s="613">
        <f t="shared" si="1"/>
        <v>100</v>
      </c>
    </row>
    <row r="14" spans="1:5" ht="18" customHeight="1">
      <c r="A14" s="606" t="s">
        <v>95</v>
      </c>
      <c r="B14" s="612">
        <f>'AVAILABILITY DASHBOARD'!M18</f>
        <v>2</v>
      </c>
      <c r="C14" s="611">
        <f>24-'AVAILABILITY DASHBOARD'!H18</f>
        <v>23.680555555555557</v>
      </c>
      <c r="D14" s="611">
        <f t="shared" si="0"/>
        <v>8.4457478005865103E-2</v>
      </c>
      <c r="E14" s="613">
        <f t="shared" si="1"/>
        <v>91.554252199413483</v>
      </c>
    </row>
    <row r="15" spans="1:5" ht="18" customHeight="1">
      <c r="A15" s="606" t="s">
        <v>175</v>
      </c>
      <c r="B15" s="612">
        <f>'AVAILABILITY DASHBOARD'!M19</f>
        <v>0</v>
      </c>
      <c r="C15" s="611">
        <f>24-'AVAILABILITY DASHBOARD'!H19</f>
        <v>24</v>
      </c>
      <c r="D15" s="611">
        <f t="shared" si="0"/>
        <v>0</v>
      </c>
      <c r="E15" s="613">
        <f t="shared" si="1"/>
        <v>100</v>
      </c>
    </row>
    <row r="16" spans="1:5" ht="18" customHeight="1">
      <c r="A16" s="606" t="s">
        <v>176</v>
      </c>
      <c r="B16" s="612">
        <f>'AVAILABILITY DASHBOARD'!M20</f>
        <v>0</v>
      </c>
      <c r="C16" s="611">
        <f>24-'AVAILABILITY DASHBOARD'!H20</f>
        <v>24</v>
      </c>
      <c r="D16" s="611">
        <f t="shared" si="0"/>
        <v>0</v>
      </c>
      <c r="E16" s="613">
        <f t="shared" si="1"/>
        <v>100</v>
      </c>
    </row>
    <row r="17" spans="1:5" ht="18" customHeight="1">
      <c r="A17" s="606" t="s">
        <v>177</v>
      </c>
      <c r="B17" s="612">
        <f>'AVAILABILITY DASHBOARD'!M21</f>
        <v>0</v>
      </c>
      <c r="C17" s="611">
        <f>24-'AVAILABILITY DASHBOARD'!H21</f>
        <v>24</v>
      </c>
      <c r="D17" s="611">
        <f t="shared" si="0"/>
        <v>0</v>
      </c>
      <c r="E17" s="613">
        <f t="shared" si="1"/>
        <v>100</v>
      </c>
    </row>
    <row r="18" spans="1:5" ht="18" customHeight="1">
      <c r="A18" s="606" t="s">
        <v>182</v>
      </c>
      <c r="B18" s="612">
        <f>'AVAILABILITY DASHBOARD'!M23</f>
        <v>0</v>
      </c>
      <c r="C18" s="611">
        <f>24-'AVAILABILITY DASHBOARD'!H23</f>
        <v>23</v>
      </c>
      <c r="D18" s="611">
        <f t="shared" si="0"/>
        <v>0</v>
      </c>
      <c r="E18" s="613">
        <f t="shared" si="1"/>
        <v>100</v>
      </c>
    </row>
    <row r="19" spans="1:5" ht="18" customHeight="1">
      <c r="A19" s="606" t="s">
        <v>183</v>
      </c>
      <c r="B19" s="612">
        <f>'AVAILABILITY DASHBOARD'!M24</f>
        <v>1</v>
      </c>
      <c r="C19" s="611">
        <f>24-'AVAILABILITY DASHBOARD'!H24</f>
        <v>23.951388888888889</v>
      </c>
      <c r="D19" s="611">
        <f t="shared" si="0"/>
        <v>4.1751232241229341E-2</v>
      </c>
      <c r="E19" s="613">
        <f t="shared" si="1"/>
        <v>95.824876775877073</v>
      </c>
    </row>
    <row r="20" spans="1:5" ht="18" customHeight="1">
      <c r="A20" s="606" t="s">
        <v>184</v>
      </c>
      <c r="B20" s="612">
        <f>'AVAILABILITY DASHBOARD'!M25</f>
        <v>0</v>
      </c>
      <c r="C20" s="611">
        <f>24-'AVAILABILITY DASHBOARD'!H25</f>
        <v>24</v>
      </c>
      <c r="D20" s="611">
        <f t="shared" si="0"/>
        <v>0</v>
      </c>
      <c r="E20" s="613">
        <f t="shared" si="1"/>
        <v>100</v>
      </c>
    </row>
    <row r="21" spans="1:5" ht="18" customHeight="1">
      <c r="A21" s="606" t="s">
        <v>185</v>
      </c>
      <c r="B21" s="612">
        <f>'AVAILABILITY DASHBOARD'!M26</f>
        <v>0</v>
      </c>
      <c r="C21" s="611">
        <f>24-'AVAILABILITY DASHBOARD'!H26</f>
        <v>24</v>
      </c>
      <c r="D21" s="611">
        <f t="shared" si="0"/>
        <v>0</v>
      </c>
      <c r="E21" s="613">
        <f t="shared" si="1"/>
        <v>100</v>
      </c>
    </row>
    <row r="22" spans="1:5" ht="18" customHeight="1">
      <c r="A22" s="606" t="s">
        <v>186</v>
      </c>
      <c r="B22" s="612">
        <f>'AVAILABILITY DASHBOARD'!M27</f>
        <v>0</v>
      </c>
      <c r="C22" s="611">
        <f>24-'AVAILABILITY DASHBOARD'!H27</f>
        <v>24</v>
      </c>
      <c r="D22" s="611">
        <f t="shared" si="0"/>
        <v>0</v>
      </c>
      <c r="E22" s="613">
        <f t="shared" si="1"/>
        <v>100</v>
      </c>
    </row>
    <row r="23" spans="1:5" ht="18" customHeight="1">
      <c r="A23" s="606" t="s">
        <v>187</v>
      </c>
      <c r="B23" s="612">
        <f>'AVAILABILITY DASHBOARD'!M28</f>
        <v>0</v>
      </c>
      <c r="C23" s="611">
        <f>24-'AVAILABILITY DASHBOARD'!H28</f>
        <v>24</v>
      </c>
      <c r="D23" s="611">
        <f t="shared" si="0"/>
        <v>0</v>
      </c>
      <c r="E23" s="613">
        <f t="shared" si="1"/>
        <v>100</v>
      </c>
    </row>
    <row r="24" spans="1:5" ht="18" customHeight="1">
      <c r="A24" s="606" t="s">
        <v>188</v>
      </c>
      <c r="B24" s="612">
        <f>'AVAILABILITY DASHBOARD'!M29</f>
        <v>0</v>
      </c>
      <c r="C24" s="611">
        <f>24-'AVAILABILITY DASHBOARD'!H29</f>
        <v>24</v>
      </c>
      <c r="D24" s="611">
        <f t="shared" si="0"/>
        <v>0</v>
      </c>
      <c r="E24" s="613">
        <f t="shared" si="1"/>
        <v>100</v>
      </c>
    </row>
    <row r="25" spans="1:5" ht="18" customHeight="1">
      <c r="A25" s="606" t="s">
        <v>189</v>
      </c>
      <c r="B25" s="612">
        <f>'AVAILABILITY DASHBOARD'!M30</f>
        <v>0</v>
      </c>
      <c r="C25" s="611">
        <f>24-'AVAILABILITY DASHBOARD'!H30</f>
        <v>24</v>
      </c>
      <c r="D25" s="611">
        <f t="shared" si="0"/>
        <v>0</v>
      </c>
      <c r="E25" s="613">
        <f t="shared" si="1"/>
        <v>100</v>
      </c>
    </row>
    <row r="26" spans="1:5" ht="18" customHeight="1">
      <c r="A26" s="606" t="s">
        <v>193</v>
      </c>
      <c r="B26" s="612">
        <f>'AVAILABILITY DASHBOARD'!M32</f>
        <v>0</v>
      </c>
      <c r="C26" s="611">
        <f>24-'AVAILABILITY DASHBOARD'!H32</f>
        <v>24</v>
      </c>
      <c r="D26" s="611">
        <f t="shared" si="0"/>
        <v>0</v>
      </c>
      <c r="E26" s="613">
        <f t="shared" si="1"/>
        <v>100</v>
      </c>
    </row>
    <row r="27" spans="1:5" ht="18" customHeight="1">
      <c r="A27" s="606" t="s">
        <v>194</v>
      </c>
      <c r="B27" s="612">
        <f>'AVAILABILITY DASHBOARD'!M33</f>
        <v>0</v>
      </c>
      <c r="C27" s="611">
        <f>24-'AVAILABILITY DASHBOARD'!H33</f>
        <v>24</v>
      </c>
      <c r="D27" s="611">
        <f t="shared" si="0"/>
        <v>0</v>
      </c>
      <c r="E27" s="613">
        <f t="shared" si="1"/>
        <v>100</v>
      </c>
    </row>
    <row r="28" spans="1:5" ht="18" customHeight="1">
      <c r="A28" s="606" t="s">
        <v>195</v>
      </c>
      <c r="B28" s="612">
        <f>'AVAILABILITY DASHBOARD'!M34</f>
        <v>0</v>
      </c>
      <c r="C28" s="611">
        <f>24-'AVAILABILITY DASHBOARD'!H34</f>
        <v>24</v>
      </c>
      <c r="D28" s="611">
        <f t="shared" si="0"/>
        <v>0</v>
      </c>
      <c r="E28" s="613">
        <f t="shared" si="1"/>
        <v>100</v>
      </c>
    </row>
    <row r="29" spans="1:5" ht="18" customHeight="1">
      <c r="A29" s="606" t="s">
        <v>196</v>
      </c>
      <c r="B29" s="612">
        <f>'AVAILABILITY DASHBOARD'!M35</f>
        <v>0</v>
      </c>
      <c r="C29" s="611">
        <f>24-'AVAILABILITY DASHBOARD'!H35</f>
        <v>24</v>
      </c>
      <c r="D29" s="611">
        <f t="shared" si="0"/>
        <v>0</v>
      </c>
      <c r="E29" s="613">
        <f t="shared" si="1"/>
        <v>100</v>
      </c>
    </row>
    <row r="30" spans="1:5" ht="18" customHeight="1">
      <c r="A30" s="606" t="s">
        <v>197</v>
      </c>
      <c r="B30" s="612">
        <f>'AVAILABILITY DASHBOARD'!M36</f>
        <v>0</v>
      </c>
      <c r="C30" s="611">
        <f>24-'AVAILABILITY DASHBOARD'!H36</f>
        <v>24</v>
      </c>
      <c r="D30" s="611">
        <f t="shared" si="0"/>
        <v>0</v>
      </c>
      <c r="E30" s="613">
        <f t="shared" si="1"/>
        <v>100</v>
      </c>
    </row>
    <row r="31" spans="1:5" ht="18" customHeight="1">
      <c r="A31" s="606" t="s">
        <v>198</v>
      </c>
      <c r="B31" s="612">
        <f>'AVAILABILITY DASHBOARD'!M37</f>
        <v>0</v>
      </c>
      <c r="C31" s="611">
        <f>24-'AVAILABILITY DASHBOARD'!H37</f>
        <v>24</v>
      </c>
      <c r="D31" s="611">
        <f t="shared" si="0"/>
        <v>0</v>
      </c>
      <c r="E31" s="613">
        <f t="shared" si="1"/>
        <v>100</v>
      </c>
    </row>
    <row r="32" spans="1:5" ht="18" customHeight="1">
      <c r="A32" s="606" t="s">
        <v>199</v>
      </c>
      <c r="B32" s="612">
        <f>'AVAILABILITY DASHBOARD'!M38</f>
        <v>0</v>
      </c>
      <c r="C32" s="611">
        <f>24-'AVAILABILITY DASHBOARD'!H38</f>
        <v>23</v>
      </c>
      <c r="D32" s="611">
        <f t="shared" si="0"/>
        <v>0</v>
      </c>
      <c r="E32" s="613">
        <f t="shared" si="1"/>
        <v>100</v>
      </c>
    </row>
    <row r="33" spans="1:5" ht="18" customHeight="1">
      <c r="A33" s="606" t="s">
        <v>201</v>
      </c>
      <c r="B33" s="612">
        <f>'AVAILABILITY DASHBOARD'!M39</f>
        <v>0</v>
      </c>
      <c r="C33" s="611">
        <f>24-'AVAILABILITY DASHBOARD'!H39</f>
        <v>24</v>
      </c>
      <c r="D33" s="611">
        <f t="shared" si="0"/>
        <v>0</v>
      </c>
      <c r="E33" s="613">
        <f t="shared" si="1"/>
        <v>100</v>
      </c>
    </row>
    <row r="34" spans="1:5" ht="18" customHeight="1">
      <c r="A34" s="606" t="s">
        <v>203</v>
      </c>
      <c r="B34" s="612">
        <f>'AVAILABILITY DASHBOARD'!M40</f>
        <v>0</v>
      </c>
      <c r="C34" s="611">
        <f>24-'AVAILABILITY DASHBOARD'!H40</f>
        <v>23</v>
      </c>
      <c r="D34" s="611">
        <f t="shared" si="0"/>
        <v>0</v>
      </c>
      <c r="E34" s="613">
        <f t="shared" si="1"/>
        <v>100</v>
      </c>
    </row>
    <row r="35" spans="1:5" ht="18" customHeight="1">
      <c r="A35" s="606" t="s">
        <v>204</v>
      </c>
      <c r="B35" s="612">
        <f>'AVAILABILITY DASHBOARD'!M41</f>
        <v>0</v>
      </c>
      <c r="C35" s="611">
        <f>24-'AVAILABILITY DASHBOARD'!H41</f>
        <v>24</v>
      </c>
      <c r="D35" s="611">
        <f t="shared" si="0"/>
        <v>0</v>
      </c>
      <c r="E35" s="613">
        <f t="shared" si="1"/>
        <v>100</v>
      </c>
    </row>
    <row r="36" spans="1:5" ht="18" customHeight="1">
      <c r="A36" s="606" t="s">
        <v>205</v>
      </c>
      <c r="B36" s="612">
        <f>'AVAILABILITY DASHBOARD'!M42</f>
        <v>0</v>
      </c>
      <c r="C36" s="611">
        <f>24-'AVAILABILITY DASHBOARD'!H42</f>
        <v>23</v>
      </c>
      <c r="D36" s="611">
        <f t="shared" si="0"/>
        <v>0</v>
      </c>
      <c r="E36" s="613">
        <f t="shared" si="1"/>
        <v>100</v>
      </c>
    </row>
    <row r="37" spans="1:5" ht="18" customHeight="1">
      <c r="A37" s="606" t="s">
        <v>206</v>
      </c>
      <c r="B37" s="612">
        <f>'AVAILABILITY DASHBOARD'!M43</f>
        <v>0</v>
      </c>
      <c r="C37" s="611">
        <f>24-'AVAILABILITY DASHBOARD'!H43</f>
        <v>23</v>
      </c>
      <c r="D37" s="611">
        <f t="shared" si="0"/>
        <v>0</v>
      </c>
      <c r="E37" s="613">
        <f t="shared" si="1"/>
        <v>100</v>
      </c>
    </row>
    <row r="38" spans="1:5" ht="18" customHeight="1">
      <c r="A38" s="606" t="s">
        <v>207</v>
      </c>
      <c r="B38" s="612">
        <f>'AVAILABILITY DASHBOARD'!M44</f>
        <v>1</v>
      </c>
      <c r="C38" s="611">
        <f>24-'AVAILABILITY DASHBOARD'!H44</f>
        <v>23.854166666666668</v>
      </c>
      <c r="D38" s="611">
        <f t="shared" si="0"/>
        <v>4.1921397379912663E-2</v>
      </c>
      <c r="E38" s="613">
        <f t="shared" si="1"/>
        <v>95.807860262008731</v>
      </c>
    </row>
    <row r="39" spans="1:5" ht="18" customHeight="1">
      <c r="A39" s="606" t="s">
        <v>208</v>
      </c>
      <c r="B39" s="612">
        <f>'AVAILABILITY DASHBOARD'!M45</f>
        <v>0</v>
      </c>
      <c r="C39" s="611">
        <f>24-'AVAILABILITY DASHBOARD'!H45</f>
        <v>24</v>
      </c>
      <c r="D39" s="611">
        <f t="shared" si="0"/>
        <v>0</v>
      </c>
      <c r="E39" s="613">
        <f t="shared" si="1"/>
        <v>100</v>
      </c>
    </row>
    <row r="40" spans="1:5" ht="18" customHeight="1">
      <c r="A40" s="606" t="s">
        <v>209</v>
      </c>
      <c r="B40" s="612">
        <f>'AVAILABILITY DASHBOARD'!M46</f>
        <v>0</v>
      </c>
      <c r="C40" s="611">
        <f>24-'AVAILABILITY DASHBOARD'!H46</f>
        <v>24</v>
      </c>
      <c r="D40" s="611">
        <f t="shared" si="0"/>
        <v>0</v>
      </c>
      <c r="E40" s="613">
        <f t="shared" si="1"/>
        <v>100</v>
      </c>
    </row>
    <row r="41" spans="1:5" ht="18" customHeight="1">
      <c r="A41" s="606" t="s">
        <v>210</v>
      </c>
      <c r="B41" s="612">
        <f>'AVAILABILITY DASHBOARD'!M47</f>
        <v>3</v>
      </c>
      <c r="C41" s="611">
        <f>24-'AVAILABILITY DASHBOARD'!H47</f>
        <v>23.96875</v>
      </c>
      <c r="D41" s="611">
        <f t="shared" si="0"/>
        <v>0.12516297262059975</v>
      </c>
      <c r="E41" s="613">
        <f t="shared" si="1"/>
        <v>87.483702737940021</v>
      </c>
    </row>
    <row r="42" spans="1:5" ht="18" customHeight="1">
      <c r="A42" s="606" t="s">
        <v>211</v>
      </c>
      <c r="B42" s="612">
        <f>'AVAILABILITY DASHBOARD'!M48</f>
        <v>1</v>
      </c>
      <c r="C42" s="611">
        <f>24-'AVAILABILITY DASHBOARD'!H48</f>
        <v>23.763888888888889</v>
      </c>
      <c r="D42" s="611">
        <f t="shared" si="0"/>
        <v>4.2080654587960259E-2</v>
      </c>
      <c r="E42" s="613">
        <f t="shared" si="1"/>
        <v>95.791934541203972</v>
      </c>
    </row>
    <row r="43" spans="1:5" ht="18" customHeight="1">
      <c r="A43" s="606" t="s">
        <v>212</v>
      </c>
      <c r="B43" s="612">
        <f>'AVAILABILITY DASHBOARD'!M49</f>
        <v>0</v>
      </c>
      <c r="C43" s="611">
        <f>24-'AVAILABILITY DASHBOARD'!H49</f>
        <v>24</v>
      </c>
      <c r="D43" s="611">
        <f t="shared" si="0"/>
        <v>0</v>
      </c>
      <c r="E43" s="613">
        <f t="shared" si="1"/>
        <v>100</v>
      </c>
    </row>
    <row r="44" spans="1:5" ht="18" customHeight="1">
      <c r="A44" s="606" t="s">
        <v>213</v>
      </c>
      <c r="B44" s="612">
        <f>'AVAILABILITY DASHBOARD'!M50</f>
        <v>0</v>
      </c>
      <c r="C44" s="611">
        <f>24-'AVAILABILITY DASHBOARD'!H50</f>
        <v>23</v>
      </c>
      <c r="D44" s="611">
        <f t="shared" si="0"/>
        <v>0</v>
      </c>
      <c r="E44" s="613">
        <f t="shared" si="1"/>
        <v>100</v>
      </c>
    </row>
    <row r="45" spans="1:5" ht="18" customHeight="1">
      <c r="A45" s="606" t="s">
        <v>214</v>
      </c>
      <c r="B45" s="612">
        <f>'AVAILABILITY DASHBOARD'!M51</f>
        <v>0</v>
      </c>
      <c r="C45" s="611">
        <f>24-'AVAILABILITY DASHBOARD'!H51</f>
        <v>23</v>
      </c>
      <c r="D45" s="611">
        <f t="shared" si="0"/>
        <v>0</v>
      </c>
      <c r="E45" s="613">
        <f t="shared" si="1"/>
        <v>100</v>
      </c>
    </row>
    <row r="46" spans="1:5" ht="18" customHeight="1">
      <c r="A46" s="606" t="s">
        <v>216</v>
      </c>
      <c r="B46" s="612">
        <f>'AVAILABILITY DASHBOARD'!M52</f>
        <v>0</v>
      </c>
      <c r="C46" s="611">
        <f>24-'AVAILABILITY DASHBOARD'!H52</f>
        <v>24</v>
      </c>
      <c r="D46" s="611">
        <f t="shared" si="0"/>
        <v>0</v>
      </c>
      <c r="E46" s="613">
        <f t="shared" si="1"/>
        <v>100</v>
      </c>
    </row>
    <row r="47" spans="1:5" ht="18" customHeight="1">
      <c r="A47" s="606" t="s">
        <v>217</v>
      </c>
      <c r="B47" s="612">
        <f>'AVAILABILITY DASHBOARD'!M53</f>
        <v>0</v>
      </c>
      <c r="C47" s="611">
        <f>24-'AVAILABILITY DASHBOARD'!H53</f>
        <v>23</v>
      </c>
      <c r="D47" s="611">
        <f t="shared" si="0"/>
        <v>0</v>
      </c>
      <c r="E47" s="613">
        <f t="shared" si="1"/>
        <v>100</v>
      </c>
    </row>
    <row r="48" spans="1:5" ht="18" customHeight="1">
      <c r="A48" s="606" t="s">
        <v>218</v>
      </c>
      <c r="B48" s="612">
        <f>'AVAILABILITY DASHBOARD'!M54</f>
        <v>0</v>
      </c>
      <c r="C48" s="611">
        <f>24-'AVAILABILITY DASHBOARD'!H54</f>
        <v>24</v>
      </c>
      <c r="D48" s="611">
        <f t="shared" si="0"/>
        <v>0</v>
      </c>
      <c r="E48" s="613">
        <f t="shared" si="1"/>
        <v>100</v>
      </c>
    </row>
    <row r="49" spans="1:5" ht="18" customHeight="1">
      <c r="A49" s="606" t="s">
        <v>219</v>
      </c>
      <c r="B49" s="612">
        <f>'AVAILABILITY DASHBOARD'!M55</f>
        <v>0</v>
      </c>
      <c r="C49" s="611">
        <f>24-'AVAILABILITY DASHBOARD'!H55</f>
        <v>23</v>
      </c>
      <c r="D49" s="611">
        <f t="shared" si="0"/>
        <v>0</v>
      </c>
      <c r="E49" s="613">
        <f t="shared" si="1"/>
        <v>100</v>
      </c>
    </row>
    <row r="50" spans="1:5" ht="18" customHeight="1">
      <c r="A50" s="606" t="s">
        <v>220</v>
      </c>
      <c r="B50" s="612">
        <f>'AVAILABILITY DASHBOARD'!M56</f>
        <v>0</v>
      </c>
      <c r="C50" s="611">
        <f>24-'AVAILABILITY DASHBOARD'!H56</f>
        <v>24</v>
      </c>
      <c r="D50" s="611">
        <f t="shared" si="0"/>
        <v>0</v>
      </c>
      <c r="E50" s="613">
        <f t="shared" si="1"/>
        <v>100</v>
      </c>
    </row>
    <row r="51" spans="1:5" ht="18" customHeight="1">
      <c r="A51" s="606" t="s">
        <v>221</v>
      </c>
      <c r="B51" s="612">
        <f>'AVAILABILITY DASHBOARD'!M57</f>
        <v>0</v>
      </c>
      <c r="C51" s="611">
        <f>24-'AVAILABILITY DASHBOARD'!H57</f>
        <v>24</v>
      </c>
      <c r="D51" s="611">
        <f t="shared" si="0"/>
        <v>0</v>
      </c>
      <c r="E51" s="613">
        <f t="shared" si="1"/>
        <v>100</v>
      </c>
    </row>
    <row r="52" spans="1:5" ht="18" customHeight="1">
      <c r="A52" s="606" t="s">
        <v>222</v>
      </c>
      <c r="B52" s="612">
        <f>'AVAILABILITY DASHBOARD'!M58</f>
        <v>1</v>
      </c>
      <c r="C52" s="611">
        <f>24-'AVAILABILITY DASHBOARD'!H58</f>
        <v>23.96875</v>
      </c>
      <c r="D52" s="611">
        <f t="shared" si="0"/>
        <v>4.1720990873533245E-2</v>
      </c>
      <c r="E52" s="613">
        <f t="shared" si="1"/>
        <v>95.827900912646683</v>
      </c>
    </row>
    <row r="53" spans="1:5" ht="18" customHeight="1">
      <c r="A53" s="606" t="s">
        <v>223</v>
      </c>
      <c r="B53" s="612">
        <f>'AVAILABILITY DASHBOARD'!M59</f>
        <v>0</v>
      </c>
      <c r="C53" s="611">
        <f>24-'AVAILABILITY DASHBOARD'!H59</f>
        <v>23</v>
      </c>
      <c r="D53" s="611">
        <f t="shared" si="0"/>
        <v>0</v>
      </c>
      <c r="E53" s="613">
        <f t="shared" si="1"/>
        <v>100</v>
      </c>
    </row>
    <row r="54" spans="1:5" ht="18" customHeight="1">
      <c r="A54" s="607" t="s">
        <v>224</v>
      </c>
      <c r="B54" s="612">
        <f>'AVAILABILITY DASHBOARD'!M60</f>
        <v>2</v>
      </c>
      <c r="C54" s="611">
        <f>24-'AVAILABILITY DASHBOARD'!H60</f>
        <v>23.96875</v>
      </c>
      <c r="D54" s="611">
        <f t="shared" si="0"/>
        <v>8.344198174706649E-2</v>
      </c>
      <c r="E54" s="613">
        <f t="shared" si="1"/>
        <v>91.655801825293352</v>
      </c>
    </row>
    <row r="55" spans="1:5" ht="18" customHeight="1">
      <c r="A55" s="607" t="s">
        <v>225</v>
      </c>
      <c r="B55" s="612">
        <f>'AVAILABILITY DASHBOARD'!M61</f>
        <v>0</v>
      </c>
      <c r="C55" s="611">
        <f>24-'AVAILABILITY DASHBOARD'!H61</f>
        <v>24</v>
      </c>
      <c r="D55" s="611">
        <f t="shared" si="0"/>
        <v>0</v>
      </c>
      <c r="E55" s="613">
        <f t="shared" si="1"/>
        <v>100</v>
      </c>
    </row>
    <row r="56" spans="1:5" ht="18" customHeight="1">
      <c r="A56" s="606" t="s">
        <v>226</v>
      </c>
      <c r="B56" s="612">
        <f>'AVAILABILITY DASHBOARD'!M62</f>
        <v>0</v>
      </c>
      <c r="C56" s="611">
        <f>24-'AVAILABILITY DASHBOARD'!H62</f>
        <v>24</v>
      </c>
      <c r="D56" s="611">
        <f t="shared" si="0"/>
        <v>0</v>
      </c>
      <c r="E56" s="613">
        <f t="shared" si="1"/>
        <v>100</v>
      </c>
    </row>
    <row r="57" spans="1:5" ht="18" customHeight="1">
      <c r="A57" s="607" t="s">
        <v>227</v>
      </c>
      <c r="B57" s="612">
        <f>'AVAILABILITY DASHBOARD'!M63</f>
        <v>0</v>
      </c>
      <c r="C57" s="611">
        <f>24-'AVAILABILITY DASHBOARD'!H63</f>
        <v>23</v>
      </c>
      <c r="D57" s="611">
        <f t="shared" si="0"/>
        <v>0</v>
      </c>
      <c r="E57" s="613">
        <f t="shared" si="1"/>
        <v>100</v>
      </c>
    </row>
    <row r="58" spans="1:5" ht="18" customHeight="1">
      <c r="A58" s="607" t="s">
        <v>229</v>
      </c>
      <c r="B58" s="612">
        <f>'AVAILABILITY DASHBOARD'!M64</f>
        <v>2</v>
      </c>
      <c r="C58" s="611">
        <f>24-'AVAILABILITY DASHBOARD'!H64</f>
        <v>23.954861111111111</v>
      </c>
      <c r="D58" s="611">
        <f t="shared" si="0"/>
        <v>8.3490360921872731E-2</v>
      </c>
      <c r="E58" s="613">
        <f t="shared" si="1"/>
        <v>91.650963907812738</v>
      </c>
    </row>
    <row r="59" spans="1:5" ht="18" customHeight="1">
      <c r="A59" s="607" t="s">
        <v>230</v>
      </c>
      <c r="B59" s="612">
        <f>'AVAILABILITY DASHBOARD'!M65</f>
        <v>1</v>
      </c>
      <c r="C59" s="611">
        <f>24-'AVAILABILITY DASHBOARD'!H65</f>
        <v>23.868055555555557</v>
      </c>
      <c r="D59" s="611">
        <f t="shared" si="0"/>
        <v>4.1897003200465521E-2</v>
      </c>
      <c r="E59" s="613">
        <f t="shared" si="1"/>
        <v>95.810299679953445</v>
      </c>
    </row>
    <row r="60" spans="1:5" ht="18" customHeight="1">
      <c r="A60" s="607" t="s">
        <v>231</v>
      </c>
      <c r="B60" s="612">
        <f>'AVAILABILITY DASHBOARD'!M66</f>
        <v>0</v>
      </c>
      <c r="C60" s="611">
        <f>24-'AVAILABILITY DASHBOARD'!H66</f>
        <v>24</v>
      </c>
      <c r="D60" s="611">
        <f t="shared" si="0"/>
        <v>0</v>
      </c>
      <c r="E60" s="613">
        <f t="shared" si="1"/>
        <v>100</v>
      </c>
    </row>
    <row r="61" spans="1:5" ht="18" customHeight="1">
      <c r="A61" s="607" t="s">
        <v>232</v>
      </c>
      <c r="B61" s="612">
        <f>'AVAILABILITY DASHBOARD'!M67</f>
        <v>1</v>
      </c>
      <c r="C61" s="611">
        <f>24-'AVAILABILITY DASHBOARD'!H67</f>
        <v>23.979166666666668</v>
      </c>
      <c r="D61" s="611">
        <f t="shared" si="0"/>
        <v>4.1702867072111204E-2</v>
      </c>
      <c r="E61" s="613">
        <f t="shared" si="1"/>
        <v>95.829713292788881</v>
      </c>
    </row>
    <row r="62" spans="1:5" ht="18" customHeight="1">
      <c r="A62" s="607" t="s">
        <v>233</v>
      </c>
      <c r="B62" s="612">
        <f>'AVAILABILITY DASHBOARD'!M68</f>
        <v>0</v>
      </c>
      <c r="C62" s="611">
        <f>24-'AVAILABILITY DASHBOARD'!H68</f>
        <v>24</v>
      </c>
      <c r="D62" s="611">
        <f t="shared" si="0"/>
        <v>0</v>
      </c>
      <c r="E62" s="613">
        <f t="shared" si="1"/>
        <v>100</v>
      </c>
    </row>
    <row r="63" spans="1:5" ht="18" customHeight="1">
      <c r="A63" s="607" t="s">
        <v>234</v>
      </c>
      <c r="B63" s="612">
        <f>'AVAILABILITY DASHBOARD'!M69</f>
        <v>0</v>
      </c>
      <c r="C63" s="611">
        <f>24-'AVAILABILITY DASHBOARD'!H69</f>
        <v>23</v>
      </c>
      <c r="D63" s="611">
        <f t="shared" si="0"/>
        <v>0</v>
      </c>
      <c r="E63" s="613">
        <f t="shared" si="1"/>
        <v>100</v>
      </c>
    </row>
    <row r="64" spans="1:5" ht="18" customHeight="1">
      <c r="A64" s="607" t="s">
        <v>235</v>
      </c>
      <c r="B64" s="612">
        <f>'AVAILABILITY DASHBOARD'!M70</f>
        <v>4.5138888888888888E-2</v>
      </c>
      <c r="C64" s="611">
        <f>24-'AVAILABILITY DASHBOARD'!H70</f>
        <v>23</v>
      </c>
      <c r="D64" s="611">
        <f t="shared" si="0"/>
        <v>1.96256038647343E-3</v>
      </c>
      <c r="E64" s="613">
        <f t="shared" si="1"/>
        <v>99.803743961352652</v>
      </c>
    </row>
    <row r="65" spans="1:5" ht="18" customHeight="1">
      <c r="A65" s="607" t="s">
        <v>237</v>
      </c>
      <c r="B65" s="612">
        <f>'AVAILABILITY DASHBOARD'!M71</f>
        <v>0</v>
      </c>
      <c r="C65" s="611">
        <f>24-'AVAILABILITY DASHBOARD'!H71</f>
        <v>23</v>
      </c>
      <c r="D65" s="611">
        <f t="shared" si="0"/>
        <v>0</v>
      </c>
      <c r="E65" s="613">
        <f t="shared" si="1"/>
        <v>100</v>
      </c>
    </row>
    <row r="66" spans="1:5" ht="18" customHeight="1">
      <c r="A66" s="607" t="s">
        <v>238</v>
      </c>
      <c r="B66" s="612">
        <f>'AVAILABILITY DASHBOARD'!M72</f>
        <v>0</v>
      </c>
      <c r="C66" s="611">
        <f>24-'AVAILABILITY DASHBOARD'!H72</f>
        <v>24</v>
      </c>
      <c r="D66" s="611">
        <f t="shared" si="0"/>
        <v>0</v>
      </c>
      <c r="E66" s="613">
        <f t="shared" si="1"/>
        <v>100</v>
      </c>
    </row>
    <row r="67" spans="1:5" ht="18" customHeight="1">
      <c r="A67" s="607" t="s">
        <v>239</v>
      </c>
      <c r="B67" s="612">
        <f>'AVAILABILITY DASHBOARD'!M73</f>
        <v>0</v>
      </c>
      <c r="C67" s="611">
        <f>24-'AVAILABILITY DASHBOARD'!H73</f>
        <v>23</v>
      </c>
      <c r="D67" s="611">
        <f t="shared" ref="D67:D130" si="2">B67/C67</f>
        <v>0</v>
      </c>
      <c r="E67" s="613">
        <f t="shared" ref="E67:E130" si="3">(1-D67)*100</f>
        <v>100</v>
      </c>
    </row>
    <row r="68" spans="1:5" ht="18" customHeight="1">
      <c r="A68" s="607" t="s">
        <v>241</v>
      </c>
      <c r="B68" s="612">
        <f>'AVAILABILITY DASHBOARD'!M74</f>
        <v>0</v>
      </c>
      <c r="C68" s="611">
        <f>24-'AVAILABILITY DASHBOARD'!H74</f>
        <v>24</v>
      </c>
      <c r="D68" s="611">
        <f t="shared" si="2"/>
        <v>0</v>
      </c>
      <c r="E68" s="613">
        <f t="shared" si="3"/>
        <v>100</v>
      </c>
    </row>
    <row r="69" spans="1:5" ht="18" customHeight="1">
      <c r="A69" s="607" t="s">
        <v>242</v>
      </c>
      <c r="B69" s="612">
        <f>'AVAILABILITY DASHBOARD'!M75</f>
        <v>1</v>
      </c>
      <c r="C69" s="611">
        <f>24-'AVAILABILITY DASHBOARD'!H75</f>
        <v>23.979166666666668</v>
      </c>
      <c r="D69" s="611">
        <f t="shared" si="2"/>
        <v>4.1702867072111204E-2</v>
      </c>
      <c r="E69" s="613">
        <f t="shared" si="3"/>
        <v>95.829713292788881</v>
      </c>
    </row>
    <row r="70" spans="1:5" ht="18" customHeight="1">
      <c r="A70" s="607" t="s">
        <v>243</v>
      </c>
      <c r="B70" s="612">
        <f>'AVAILABILITY DASHBOARD'!M76</f>
        <v>0</v>
      </c>
      <c r="C70" s="611">
        <f>24-'AVAILABILITY DASHBOARD'!H76</f>
        <v>24</v>
      </c>
      <c r="D70" s="611">
        <f t="shared" si="2"/>
        <v>0</v>
      </c>
      <c r="E70" s="613">
        <f t="shared" si="3"/>
        <v>100</v>
      </c>
    </row>
    <row r="71" spans="1:5" ht="18" customHeight="1">
      <c r="A71" s="607" t="s">
        <v>244</v>
      </c>
      <c r="B71" s="612">
        <f>'AVAILABILITY DASHBOARD'!M77</f>
        <v>1</v>
      </c>
      <c r="C71" s="611">
        <f>24-'AVAILABILITY DASHBOARD'!H77</f>
        <v>23.989583333333332</v>
      </c>
      <c r="D71" s="611">
        <f t="shared" si="2"/>
        <v>4.1684759009986978E-2</v>
      </c>
      <c r="E71" s="613">
        <f t="shared" si="3"/>
        <v>95.8315240990013</v>
      </c>
    </row>
    <row r="72" spans="1:5" ht="18" customHeight="1">
      <c r="A72" s="607" t="s">
        <v>245</v>
      </c>
      <c r="B72" s="612">
        <f>'AVAILABILITY DASHBOARD'!M78</f>
        <v>0</v>
      </c>
      <c r="C72" s="611">
        <f>24-'AVAILABILITY DASHBOARD'!H78</f>
        <v>24</v>
      </c>
      <c r="D72" s="611">
        <f t="shared" si="2"/>
        <v>0</v>
      </c>
      <c r="E72" s="613">
        <f t="shared" si="3"/>
        <v>100</v>
      </c>
    </row>
    <row r="73" spans="1:5" ht="18" customHeight="1">
      <c r="A73" s="607" t="s">
        <v>246</v>
      </c>
      <c r="B73" s="612">
        <f>'AVAILABILITY DASHBOARD'!M79</f>
        <v>0</v>
      </c>
      <c r="C73" s="611">
        <f>24-'AVAILABILITY DASHBOARD'!H79</f>
        <v>24</v>
      </c>
      <c r="D73" s="611">
        <f t="shared" si="2"/>
        <v>0</v>
      </c>
      <c r="E73" s="613">
        <f t="shared" si="3"/>
        <v>100</v>
      </c>
    </row>
    <row r="74" spans="1:5" ht="18" customHeight="1">
      <c r="A74" s="607" t="s">
        <v>247</v>
      </c>
      <c r="B74" s="612">
        <f>'AVAILABILITY DASHBOARD'!M80</f>
        <v>0</v>
      </c>
      <c r="C74" s="611">
        <f>24-'AVAILABILITY DASHBOARD'!H80</f>
        <v>24</v>
      </c>
      <c r="D74" s="611">
        <f t="shared" si="2"/>
        <v>0</v>
      </c>
      <c r="E74" s="613">
        <f t="shared" si="3"/>
        <v>100</v>
      </c>
    </row>
    <row r="75" spans="1:5" ht="18" customHeight="1">
      <c r="A75" s="607" t="s">
        <v>248</v>
      </c>
      <c r="B75" s="612">
        <f>'AVAILABILITY DASHBOARD'!M81</f>
        <v>0</v>
      </c>
      <c r="C75" s="611">
        <f>24-'AVAILABILITY DASHBOARD'!H81</f>
        <v>24</v>
      </c>
      <c r="D75" s="611">
        <f t="shared" si="2"/>
        <v>0</v>
      </c>
      <c r="E75" s="613">
        <f t="shared" si="3"/>
        <v>100</v>
      </c>
    </row>
    <row r="76" spans="1:5" ht="18" customHeight="1">
      <c r="A76" s="607" t="s">
        <v>249</v>
      </c>
      <c r="B76" s="612">
        <f>'AVAILABILITY DASHBOARD'!M82</f>
        <v>0</v>
      </c>
      <c r="C76" s="611">
        <f>24-'AVAILABILITY DASHBOARD'!H82</f>
        <v>24</v>
      </c>
      <c r="D76" s="611">
        <f t="shared" si="2"/>
        <v>0</v>
      </c>
      <c r="E76" s="613">
        <f t="shared" si="3"/>
        <v>100</v>
      </c>
    </row>
    <row r="77" spans="1:5" ht="18" customHeight="1">
      <c r="A77" s="607" t="s">
        <v>250</v>
      </c>
      <c r="B77" s="612">
        <f>'AVAILABILITY DASHBOARD'!M83</f>
        <v>0</v>
      </c>
      <c r="C77" s="611">
        <f>24-'AVAILABILITY DASHBOARD'!H83</f>
        <v>23</v>
      </c>
      <c r="D77" s="611">
        <f t="shared" si="2"/>
        <v>0</v>
      </c>
      <c r="E77" s="613">
        <f t="shared" si="3"/>
        <v>100</v>
      </c>
    </row>
    <row r="78" spans="1:5" ht="18" customHeight="1">
      <c r="A78" s="607" t="s">
        <v>251</v>
      </c>
      <c r="B78" s="612">
        <f>'AVAILABILITY DASHBOARD'!M94</f>
        <v>1</v>
      </c>
      <c r="C78" s="611">
        <f>24-'AVAILABILITY DASHBOARD'!H94</f>
        <v>23.979166666666668</v>
      </c>
      <c r="D78" s="611">
        <f t="shared" si="2"/>
        <v>4.1702867072111204E-2</v>
      </c>
      <c r="E78" s="613">
        <f t="shared" si="3"/>
        <v>95.829713292788881</v>
      </c>
    </row>
    <row r="79" spans="1:5" ht="18" customHeight="1">
      <c r="A79" s="607" t="s">
        <v>252</v>
      </c>
      <c r="B79" s="612">
        <f>'AVAILABILITY DASHBOARD'!M95</f>
        <v>0</v>
      </c>
      <c r="C79" s="611">
        <f>24-'AVAILABILITY DASHBOARD'!H95</f>
        <v>23</v>
      </c>
      <c r="D79" s="611">
        <f t="shared" si="2"/>
        <v>0</v>
      </c>
      <c r="E79" s="613">
        <f t="shared" si="3"/>
        <v>100</v>
      </c>
    </row>
    <row r="80" spans="1:5" ht="18" customHeight="1">
      <c r="A80" s="607" t="s">
        <v>254</v>
      </c>
      <c r="B80" s="612">
        <f>'AVAILABILITY DASHBOARD'!M96</f>
        <v>0</v>
      </c>
      <c r="C80" s="611">
        <f>24-'AVAILABILITY DASHBOARD'!H96</f>
        <v>24</v>
      </c>
      <c r="D80" s="611">
        <f t="shared" si="2"/>
        <v>0</v>
      </c>
      <c r="E80" s="613">
        <f t="shared" si="3"/>
        <v>100</v>
      </c>
    </row>
    <row r="81" spans="1:5" ht="18" customHeight="1">
      <c r="A81" s="607" t="s">
        <v>255</v>
      </c>
      <c r="B81" s="612">
        <f>'AVAILABILITY DASHBOARD'!M97</f>
        <v>0</v>
      </c>
      <c r="C81" s="611">
        <f>24-'AVAILABILITY DASHBOARD'!H97</f>
        <v>24</v>
      </c>
      <c r="D81" s="611">
        <f t="shared" si="2"/>
        <v>0</v>
      </c>
      <c r="E81" s="613">
        <f t="shared" si="3"/>
        <v>100</v>
      </c>
    </row>
    <row r="82" spans="1:5" ht="18" customHeight="1">
      <c r="A82" s="606" t="s">
        <v>262</v>
      </c>
      <c r="B82" s="612">
        <f>'AVAILABILITY DASHBOARD'!M99</f>
        <v>0</v>
      </c>
      <c r="C82" s="611">
        <f>24-'AVAILABILITY DASHBOARD'!H99</f>
        <v>23</v>
      </c>
      <c r="D82" s="611">
        <f t="shared" si="2"/>
        <v>0</v>
      </c>
      <c r="E82" s="613">
        <f t="shared" si="3"/>
        <v>100</v>
      </c>
    </row>
    <row r="83" spans="1:5" ht="18" customHeight="1">
      <c r="A83" s="606" t="s">
        <v>264</v>
      </c>
      <c r="B83" s="612">
        <f>'AVAILABILITY DASHBOARD'!M100</f>
        <v>1</v>
      </c>
      <c r="C83" s="611">
        <f>24-'AVAILABILITY DASHBOARD'!H100</f>
        <v>23.920138888888889</v>
      </c>
      <c r="D83" s="611">
        <f t="shared" si="2"/>
        <v>4.1805777326172161E-2</v>
      </c>
      <c r="E83" s="613">
        <f t="shared" si="3"/>
        <v>95.819422267382777</v>
      </c>
    </row>
    <row r="84" spans="1:5" ht="18" customHeight="1">
      <c r="A84" s="606" t="s">
        <v>265</v>
      </c>
      <c r="B84" s="612">
        <f>'AVAILABILITY DASHBOARD'!M101</f>
        <v>0</v>
      </c>
      <c r="C84" s="611">
        <f>24-'AVAILABILITY DASHBOARD'!H101</f>
        <v>23</v>
      </c>
      <c r="D84" s="611">
        <f t="shared" si="2"/>
        <v>0</v>
      </c>
      <c r="E84" s="613">
        <f t="shared" si="3"/>
        <v>100</v>
      </c>
    </row>
    <row r="85" spans="1:5" ht="18" customHeight="1">
      <c r="A85" s="606" t="s">
        <v>267</v>
      </c>
      <c r="B85" s="612">
        <f>'AVAILABILITY DASHBOARD'!M102</f>
        <v>0</v>
      </c>
      <c r="C85" s="611">
        <f>24-'AVAILABILITY DASHBOARD'!H102</f>
        <v>24</v>
      </c>
      <c r="D85" s="611">
        <f t="shared" si="2"/>
        <v>0</v>
      </c>
      <c r="E85" s="613">
        <f t="shared" si="3"/>
        <v>100</v>
      </c>
    </row>
    <row r="86" spans="1:5" ht="18" customHeight="1">
      <c r="A86" s="606" t="s">
        <v>268</v>
      </c>
      <c r="B86" s="612">
        <f>'AVAILABILITY DASHBOARD'!M103</f>
        <v>0</v>
      </c>
      <c r="C86" s="611">
        <f>24-'AVAILABILITY DASHBOARD'!H103</f>
        <v>24</v>
      </c>
      <c r="D86" s="611">
        <f t="shared" si="2"/>
        <v>0</v>
      </c>
      <c r="E86" s="613">
        <f t="shared" si="3"/>
        <v>100</v>
      </c>
    </row>
    <row r="87" spans="1:5" ht="18" customHeight="1">
      <c r="A87" s="606" t="s">
        <v>269</v>
      </c>
      <c r="B87" s="612">
        <f>'AVAILABILITY DASHBOARD'!M104</f>
        <v>0</v>
      </c>
      <c r="C87" s="611">
        <f>24-'AVAILABILITY DASHBOARD'!H104</f>
        <v>23</v>
      </c>
      <c r="D87" s="611">
        <f t="shared" si="2"/>
        <v>0</v>
      </c>
      <c r="E87" s="613">
        <f t="shared" si="3"/>
        <v>100</v>
      </c>
    </row>
    <row r="88" spans="1:5" ht="18" customHeight="1">
      <c r="A88" s="606" t="s">
        <v>270</v>
      </c>
      <c r="B88" s="612">
        <f>'AVAILABILITY DASHBOARD'!M105</f>
        <v>0</v>
      </c>
      <c r="C88" s="611">
        <f>24-'AVAILABILITY DASHBOARD'!H105</f>
        <v>23</v>
      </c>
      <c r="D88" s="611">
        <f t="shared" si="2"/>
        <v>0</v>
      </c>
      <c r="E88" s="613">
        <f t="shared" si="3"/>
        <v>100</v>
      </c>
    </row>
    <row r="89" spans="1:5" ht="18" customHeight="1">
      <c r="A89" s="606" t="s">
        <v>271</v>
      </c>
      <c r="B89" s="612">
        <f>'AVAILABILITY DASHBOARD'!M106</f>
        <v>0</v>
      </c>
      <c r="C89" s="611">
        <f>24-'AVAILABILITY DASHBOARD'!H106</f>
        <v>23</v>
      </c>
      <c r="D89" s="611">
        <f t="shared" si="2"/>
        <v>0</v>
      </c>
      <c r="E89" s="613">
        <f t="shared" si="3"/>
        <v>100</v>
      </c>
    </row>
    <row r="90" spans="1:5" ht="18" customHeight="1">
      <c r="A90" s="606" t="s">
        <v>272</v>
      </c>
      <c r="B90" s="612">
        <f>'AVAILABILITY DASHBOARD'!M107</f>
        <v>0</v>
      </c>
      <c r="C90" s="611">
        <f>24-'AVAILABILITY DASHBOARD'!H107</f>
        <v>24</v>
      </c>
      <c r="D90" s="611">
        <f t="shared" si="2"/>
        <v>0</v>
      </c>
      <c r="E90" s="613">
        <f t="shared" si="3"/>
        <v>100</v>
      </c>
    </row>
    <row r="91" spans="1:5" ht="18" customHeight="1">
      <c r="A91" s="606" t="s">
        <v>273</v>
      </c>
      <c r="B91" s="612">
        <f>'AVAILABILITY DASHBOARD'!M108</f>
        <v>0</v>
      </c>
      <c r="C91" s="611">
        <f>24-'AVAILABILITY DASHBOARD'!H108</f>
        <v>23</v>
      </c>
      <c r="D91" s="611">
        <f t="shared" si="2"/>
        <v>0</v>
      </c>
      <c r="E91" s="613">
        <f t="shared" si="3"/>
        <v>100</v>
      </c>
    </row>
    <row r="92" spans="1:5" ht="18" customHeight="1">
      <c r="A92" s="606" t="s">
        <v>274</v>
      </c>
      <c r="B92" s="612">
        <f>'AVAILABILITY DASHBOARD'!M109</f>
        <v>0</v>
      </c>
      <c r="C92" s="611">
        <f>24-'AVAILABILITY DASHBOARD'!H109</f>
        <v>24</v>
      </c>
      <c r="D92" s="611">
        <f t="shared" si="2"/>
        <v>0</v>
      </c>
      <c r="E92" s="613">
        <f t="shared" si="3"/>
        <v>100</v>
      </c>
    </row>
    <row r="93" spans="1:5" ht="18" customHeight="1">
      <c r="A93" s="606" t="s">
        <v>275</v>
      </c>
      <c r="B93" s="612">
        <f>'AVAILABILITY DASHBOARD'!M110</f>
        <v>0</v>
      </c>
      <c r="C93" s="611">
        <f>24-'AVAILABILITY DASHBOARD'!H110</f>
        <v>24</v>
      </c>
      <c r="D93" s="611">
        <f t="shared" si="2"/>
        <v>0</v>
      </c>
      <c r="E93" s="613">
        <f t="shared" si="3"/>
        <v>100</v>
      </c>
    </row>
    <row r="94" spans="1:5" ht="18" customHeight="1">
      <c r="A94" s="606" t="s">
        <v>276</v>
      </c>
      <c r="B94" s="612">
        <f>'AVAILABILITY DASHBOARD'!M111</f>
        <v>0</v>
      </c>
      <c r="C94" s="611">
        <f>24-'AVAILABILITY DASHBOARD'!H111</f>
        <v>24</v>
      </c>
      <c r="D94" s="611">
        <f t="shared" si="2"/>
        <v>0</v>
      </c>
      <c r="E94" s="613">
        <f t="shared" si="3"/>
        <v>100</v>
      </c>
    </row>
    <row r="95" spans="1:5" ht="18" customHeight="1">
      <c r="A95" s="606" t="s">
        <v>277</v>
      </c>
      <c r="B95" s="612">
        <f>'AVAILABILITY DASHBOARD'!M112</f>
        <v>2</v>
      </c>
      <c r="C95" s="611">
        <f>24-'AVAILABILITY DASHBOARD'!H112</f>
        <v>23.430555555555557</v>
      </c>
      <c r="D95" s="611">
        <f t="shared" si="2"/>
        <v>8.5358624777711903E-2</v>
      </c>
      <c r="E95" s="613">
        <f t="shared" si="3"/>
        <v>91.46413752222881</v>
      </c>
    </row>
    <row r="96" spans="1:5" ht="18" customHeight="1">
      <c r="A96" s="606" t="s">
        <v>278</v>
      </c>
      <c r="B96" s="612">
        <f>'AVAILABILITY DASHBOARD'!M113</f>
        <v>0</v>
      </c>
      <c r="C96" s="611">
        <f>24-'AVAILABILITY DASHBOARD'!H113</f>
        <v>24</v>
      </c>
      <c r="D96" s="611">
        <f t="shared" si="2"/>
        <v>0</v>
      </c>
      <c r="E96" s="613">
        <f t="shared" si="3"/>
        <v>100</v>
      </c>
    </row>
    <row r="97" spans="1:5" ht="18" customHeight="1">
      <c r="A97" s="606" t="s">
        <v>279</v>
      </c>
      <c r="B97" s="612">
        <f>'AVAILABILITY DASHBOARD'!M114</f>
        <v>0</v>
      </c>
      <c r="C97" s="611">
        <f>24-'AVAILABILITY DASHBOARD'!H114</f>
        <v>24</v>
      </c>
      <c r="D97" s="611">
        <f t="shared" si="2"/>
        <v>0</v>
      </c>
      <c r="E97" s="613">
        <f t="shared" si="3"/>
        <v>100</v>
      </c>
    </row>
    <row r="98" spans="1:5" ht="18" customHeight="1">
      <c r="A98" s="606" t="s">
        <v>280</v>
      </c>
      <c r="B98" s="612">
        <f>'AVAILABILITY DASHBOARD'!M115</f>
        <v>0</v>
      </c>
      <c r="C98" s="611">
        <f>24-'AVAILABILITY DASHBOARD'!H115</f>
        <v>23</v>
      </c>
      <c r="D98" s="611">
        <f t="shared" si="2"/>
        <v>0</v>
      </c>
      <c r="E98" s="613">
        <f t="shared" si="3"/>
        <v>100</v>
      </c>
    </row>
    <row r="99" spans="1:5" ht="18" customHeight="1">
      <c r="A99" s="606" t="s">
        <v>282</v>
      </c>
      <c r="B99" s="612">
        <f>'AVAILABILITY DASHBOARD'!M116</f>
        <v>0</v>
      </c>
      <c r="C99" s="611">
        <f>24-'AVAILABILITY DASHBOARD'!H116</f>
        <v>23</v>
      </c>
      <c r="D99" s="611">
        <f t="shared" si="2"/>
        <v>0</v>
      </c>
      <c r="E99" s="613">
        <f t="shared" si="3"/>
        <v>100</v>
      </c>
    </row>
    <row r="100" spans="1:5" ht="18" customHeight="1">
      <c r="A100" s="606" t="s">
        <v>283</v>
      </c>
      <c r="B100" s="612">
        <f>'AVAILABILITY DASHBOARD'!M117</f>
        <v>0</v>
      </c>
      <c r="C100" s="611">
        <f>24-'AVAILABILITY DASHBOARD'!H117</f>
        <v>23</v>
      </c>
      <c r="D100" s="611">
        <f t="shared" si="2"/>
        <v>0</v>
      </c>
      <c r="E100" s="613">
        <f t="shared" si="3"/>
        <v>100</v>
      </c>
    </row>
    <row r="101" spans="1:5" ht="18" customHeight="1">
      <c r="A101" s="606" t="s">
        <v>285</v>
      </c>
      <c r="B101" s="612">
        <f>'AVAILABILITY DASHBOARD'!M119</f>
        <v>0</v>
      </c>
      <c r="C101" s="611">
        <f>24-'AVAILABILITY DASHBOARD'!H119</f>
        <v>23</v>
      </c>
      <c r="D101" s="611">
        <f t="shared" si="2"/>
        <v>0</v>
      </c>
      <c r="E101" s="613">
        <f t="shared" si="3"/>
        <v>100</v>
      </c>
    </row>
    <row r="102" spans="1:5" ht="18" customHeight="1">
      <c r="A102" s="606" t="s">
        <v>287</v>
      </c>
      <c r="B102" s="612">
        <f>'AVAILABILITY DASHBOARD'!M120</f>
        <v>0</v>
      </c>
      <c r="C102" s="611">
        <f>24-'AVAILABILITY DASHBOARD'!H120</f>
        <v>23</v>
      </c>
      <c r="D102" s="611">
        <f t="shared" si="2"/>
        <v>0</v>
      </c>
      <c r="E102" s="613">
        <f t="shared" si="3"/>
        <v>100</v>
      </c>
    </row>
    <row r="103" spans="1:5" ht="18" customHeight="1">
      <c r="A103" s="606" t="s">
        <v>288</v>
      </c>
      <c r="B103" s="612">
        <f>'AVAILABILITY DASHBOARD'!M121</f>
        <v>0</v>
      </c>
      <c r="C103" s="611">
        <f>24-'AVAILABILITY DASHBOARD'!H121</f>
        <v>24</v>
      </c>
      <c r="D103" s="611">
        <f t="shared" si="2"/>
        <v>0</v>
      </c>
      <c r="E103" s="613">
        <f t="shared" si="3"/>
        <v>100</v>
      </c>
    </row>
    <row r="104" spans="1:5" ht="18" customHeight="1">
      <c r="A104" s="606" t="s">
        <v>289</v>
      </c>
      <c r="B104" s="612">
        <f>'AVAILABILITY DASHBOARD'!M122</f>
        <v>0</v>
      </c>
      <c r="C104" s="611">
        <f>24-'AVAILABILITY DASHBOARD'!H122</f>
        <v>23</v>
      </c>
      <c r="D104" s="611">
        <f t="shared" si="2"/>
        <v>0</v>
      </c>
      <c r="E104" s="613">
        <f t="shared" si="3"/>
        <v>100</v>
      </c>
    </row>
    <row r="105" spans="1:5" ht="18" customHeight="1">
      <c r="A105" s="606" t="s">
        <v>291</v>
      </c>
      <c r="B105" s="612">
        <f>'AVAILABILITY DASHBOARD'!M123</f>
        <v>0</v>
      </c>
      <c r="C105" s="611">
        <f>24-'AVAILABILITY DASHBOARD'!H123</f>
        <v>23</v>
      </c>
      <c r="D105" s="611">
        <f t="shared" si="2"/>
        <v>0</v>
      </c>
      <c r="E105" s="613">
        <f t="shared" si="3"/>
        <v>100</v>
      </c>
    </row>
    <row r="106" spans="1:5" ht="18" customHeight="1">
      <c r="A106" s="606" t="s">
        <v>293</v>
      </c>
      <c r="B106" s="612">
        <f>'AVAILABILITY DASHBOARD'!M124</f>
        <v>0</v>
      </c>
      <c r="C106" s="611">
        <f>24-'AVAILABILITY DASHBOARD'!H124</f>
        <v>23</v>
      </c>
      <c r="D106" s="611">
        <f t="shared" si="2"/>
        <v>0</v>
      </c>
      <c r="E106" s="613">
        <f t="shared" si="3"/>
        <v>100</v>
      </c>
    </row>
    <row r="107" spans="1:5" ht="18" customHeight="1">
      <c r="A107" s="606" t="s">
        <v>295</v>
      </c>
      <c r="B107" s="612">
        <f>'AVAILABILITY DASHBOARD'!M125</f>
        <v>0</v>
      </c>
      <c r="C107" s="611">
        <f>24-'AVAILABILITY DASHBOARD'!H125</f>
        <v>24</v>
      </c>
      <c r="D107" s="611">
        <f t="shared" si="2"/>
        <v>0</v>
      </c>
      <c r="E107" s="613">
        <f t="shared" si="3"/>
        <v>100</v>
      </c>
    </row>
    <row r="108" spans="1:5" ht="18" customHeight="1">
      <c r="A108" s="606" t="s">
        <v>296</v>
      </c>
      <c r="B108" s="612">
        <f>'AVAILABILITY DASHBOARD'!M126</f>
        <v>0</v>
      </c>
      <c r="C108" s="611">
        <f>24-'AVAILABILITY DASHBOARD'!H126</f>
        <v>23</v>
      </c>
      <c r="D108" s="611">
        <f t="shared" si="2"/>
        <v>0</v>
      </c>
      <c r="E108" s="613">
        <f t="shared" si="3"/>
        <v>100</v>
      </c>
    </row>
    <row r="109" spans="1:5" ht="18" customHeight="1">
      <c r="A109" s="606" t="s">
        <v>298</v>
      </c>
      <c r="B109" s="612">
        <f>'AVAILABILITY DASHBOARD'!M127</f>
        <v>0</v>
      </c>
      <c r="C109" s="611">
        <f>24-'AVAILABILITY DASHBOARD'!H127</f>
        <v>24</v>
      </c>
      <c r="D109" s="611">
        <f t="shared" si="2"/>
        <v>0</v>
      </c>
      <c r="E109" s="613">
        <f t="shared" si="3"/>
        <v>100</v>
      </c>
    </row>
    <row r="110" spans="1:5" ht="18" customHeight="1">
      <c r="A110" s="606" t="s">
        <v>299</v>
      </c>
      <c r="B110" s="612">
        <f>'AVAILABILITY DASHBOARD'!M128</f>
        <v>1</v>
      </c>
      <c r="C110" s="611">
        <f>24-'AVAILABILITY DASHBOARD'!H128</f>
        <v>23.989583333333332</v>
      </c>
      <c r="D110" s="611">
        <f t="shared" si="2"/>
        <v>4.1684759009986978E-2</v>
      </c>
      <c r="E110" s="613">
        <f t="shared" si="3"/>
        <v>95.8315240990013</v>
      </c>
    </row>
    <row r="111" spans="1:5" ht="18" customHeight="1">
      <c r="A111" s="606" t="s">
        <v>300</v>
      </c>
      <c r="B111" s="612">
        <f>'AVAILABILITY DASHBOARD'!M129</f>
        <v>1</v>
      </c>
      <c r="C111" s="611">
        <f>24-'AVAILABILITY DASHBOARD'!H129</f>
        <v>23.965277777777779</v>
      </c>
      <c r="D111" s="611">
        <f t="shared" si="2"/>
        <v>4.1727035641842943E-2</v>
      </c>
      <c r="E111" s="613">
        <f t="shared" si="3"/>
        <v>95.827296435815697</v>
      </c>
    </row>
    <row r="112" spans="1:5" ht="18" customHeight="1">
      <c r="A112" s="606" t="s">
        <v>301</v>
      </c>
      <c r="B112" s="612">
        <f>'AVAILABILITY DASHBOARD'!M130</f>
        <v>0</v>
      </c>
      <c r="C112" s="611">
        <f>24-'AVAILABILITY DASHBOARD'!H130</f>
        <v>23</v>
      </c>
      <c r="D112" s="611">
        <f t="shared" si="2"/>
        <v>0</v>
      </c>
      <c r="E112" s="613">
        <f t="shared" si="3"/>
        <v>100</v>
      </c>
    </row>
    <row r="113" spans="1:5" ht="18" customHeight="1">
      <c r="A113" s="606" t="s">
        <v>303</v>
      </c>
      <c r="B113" s="612">
        <f>'AVAILABILITY DASHBOARD'!M131</f>
        <v>0</v>
      </c>
      <c r="C113" s="611">
        <f>24-'AVAILABILITY DASHBOARD'!H131</f>
        <v>24</v>
      </c>
      <c r="D113" s="611">
        <f t="shared" si="2"/>
        <v>0</v>
      </c>
      <c r="E113" s="613">
        <f t="shared" si="3"/>
        <v>100</v>
      </c>
    </row>
    <row r="114" spans="1:5" ht="18" customHeight="1">
      <c r="A114" s="606" t="s">
        <v>304</v>
      </c>
      <c r="B114" s="612">
        <f>'AVAILABILITY DASHBOARD'!M132</f>
        <v>0</v>
      </c>
      <c r="C114" s="611">
        <f>24-'AVAILABILITY DASHBOARD'!H132</f>
        <v>24</v>
      </c>
      <c r="D114" s="611">
        <f t="shared" si="2"/>
        <v>0</v>
      </c>
      <c r="E114" s="613">
        <f t="shared" si="3"/>
        <v>100</v>
      </c>
    </row>
    <row r="115" spans="1:5" ht="18" customHeight="1">
      <c r="A115" s="606" t="s">
        <v>305</v>
      </c>
      <c r="B115" s="612">
        <f>'AVAILABILITY DASHBOARD'!M133</f>
        <v>0</v>
      </c>
      <c r="C115" s="611">
        <f>24-'AVAILABILITY DASHBOARD'!H133</f>
        <v>24</v>
      </c>
      <c r="D115" s="611">
        <f t="shared" si="2"/>
        <v>0</v>
      </c>
      <c r="E115" s="613">
        <f t="shared" si="3"/>
        <v>100</v>
      </c>
    </row>
    <row r="116" spans="1:5" ht="18" customHeight="1">
      <c r="A116" s="606" t="s">
        <v>306</v>
      </c>
      <c r="B116" s="612">
        <f>'AVAILABILITY DASHBOARD'!M134</f>
        <v>0</v>
      </c>
      <c r="C116" s="611">
        <f>24-'AVAILABILITY DASHBOARD'!H134</f>
        <v>24</v>
      </c>
      <c r="D116" s="611">
        <f t="shared" si="2"/>
        <v>0</v>
      </c>
      <c r="E116" s="613">
        <f t="shared" si="3"/>
        <v>100</v>
      </c>
    </row>
    <row r="117" spans="1:5" ht="18" customHeight="1">
      <c r="A117" s="606" t="s">
        <v>307</v>
      </c>
      <c r="B117" s="612">
        <f>'AVAILABILITY DASHBOARD'!M135</f>
        <v>0</v>
      </c>
      <c r="C117" s="611">
        <f>24-'AVAILABILITY DASHBOARD'!H135</f>
        <v>24</v>
      </c>
      <c r="D117" s="611">
        <f t="shared" si="2"/>
        <v>0</v>
      </c>
      <c r="E117" s="613">
        <f t="shared" si="3"/>
        <v>100</v>
      </c>
    </row>
    <row r="118" spans="1:5" ht="18" customHeight="1">
      <c r="A118" s="606" t="s">
        <v>308</v>
      </c>
      <c r="B118" s="612">
        <f>'AVAILABILITY DASHBOARD'!M136</f>
        <v>0</v>
      </c>
      <c r="C118" s="611">
        <f>24-'AVAILABILITY DASHBOARD'!H136</f>
        <v>24</v>
      </c>
      <c r="D118" s="611">
        <f t="shared" si="2"/>
        <v>0</v>
      </c>
      <c r="E118" s="613">
        <f t="shared" si="3"/>
        <v>100</v>
      </c>
    </row>
    <row r="119" spans="1:5" ht="18" customHeight="1">
      <c r="A119" s="606" t="s">
        <v>309</v>
      </c>
      <c r="B119" s="612">
        <f>'AVAILABILITY DASHBOARD'!M137</f>
        <v>0</v>
      </c>
      <c r="C119" s="611">
        <f>24-'AVAILABILITY DASHBOARD'!H137</f>
        <v>24</v>
      </c>
      <c r="D119" s="611">
        <f t="shared" si="2"/>
        <v>0</v>
      </c>
      <c r="E119" s="613">
        <f t="shared" si="3"/>
        <v>100</v>
      </c>
    </row>
    <row r="120" spans="1:5" ht="18" customHeight="1">
      <c r="A120" s="606" t="s">
        <v>310</v>
      </c>
      <c r="B120" s="612">
        <f>'AVAILABILITY DASHBOARD'!M138</f>
        <v>0</v>
      </c>
      <c r="C120" s="611">
        <f>24-'AVAILABILITY DASHBOARD'!H138</f>
        <v>24</v>
      </c>
      <c r="D120" s="611">
        <f t="shared" si="2"/>
        <v>0</v>
      </c>
      <c r="E120" s="613">
        <f t="shared" si="3"/>
        <v>100</v>
      </c>
    </row>
    <row r="121" spans="1:5" ht="18" customHeight="1">
      <c r="A121" s="606" t="s">
        <v>311</v>
      </c>
      <c r="B121" s="612">
        <f>'AVAILABILITY DASHBOARD'!M139</f>
        <v>0</v>
      </c>
      <c r="C121" s="611">
        <f>24-'AVAILABILITY DASHBOARD'!H139</f>
        <v>24</v>
      </c>
      <c r="D121" s="611">
        <f t="shared" si="2"/>
        <v>0</v>
      </c>
      <c r="E121" s="613">
        <f t="shared" si="3"/>
        <v>100</v>
      </c>
    </row>
    <row r="122" spans="1:5" ht="18" customHeight="1">
      <c r="A122" s="608" t="s">
        <v>318</v>
      </c>
      <c r="B122" s="612">
        <f>'AVAILABILITY DASHBOARD'!M141</f>
        <v>0</v>
      </c>
      <c r="C122" s="611">
        <f>24-'AVAILABILITY DASHBOARD'!H141</f>
        <v>23</v>
      </c>
      <c r="D122" s="611">
        <f t="shared" si="2"/>
        <v>0</v>
      </c>
      <c r="E122" s="613">
        <f t="shared" si="3"/>
        <v>100</v>
      </c>
    </row>
    <row r="123" spans="1:5" ht="18" customHeight="1">
      <c r="A123" s="608" t="s">
        <v>319</v>
      </c>
      <c r="B123" s="612">
        <f>'AVAILABILITY DASHBOARD'!M142</f>
        <v>0</v>
      </c>
      <c r="C123" s="611">
        <f>24-'AVAILABILITY DASHBOARD'!H142</f>
        <v>23</v>
      </c>
      <c r="D123" s="611">
        <f t="shared" si="2"/>
        <v>0</v>
      </c>
      <c r="E123" s="613">
        <f t="shared" si="3"/>
        <v>100</v>
      </c>
    </row>
    <row r="124" spans="1:5" ht="18" customHeight="1">
      <c r="A124" s="608" t="s">
        <v>320</v>
      </c>
      <c r="B124" s="612">
        <f>'AVAILABILITY DASHBOARD'!M143</f>
        <v>0</v>
      </c>
      <c r="C124" s="611">
        <f>24-'AVAILABILITY DASHBOARD'!H143</f>
        <v>23</v>
      </c>
      <c r="D124" s="611">
        <f t="shared" si="2"/>
        <v>0</v>
      </c>
      <c r="E124" s="613">
        <f t="shared" si="3"/>
        <v>100</v>
      </c>
    </row>
    <row r="125" spans="1:5" ht="18" customHeight="1">
      <c r="A125" s="608" t="s">
        <v>321</v>
      </c>
      <c r="B125" s="612">
        <f>'AVAILABILITY DASHBOARD'!M144</f>
        <v>0</v>
      </c>
      <c r="C125" s="611">
        <f>24-'AVAILABILITY DASHBOARD'!H144</f>
        <v>24</v>
      </c>
      <c r="D125" s="611">
        <f t="shared" si="2"/>
        <v>0</v>
      </c>
      <c r="E125" s="613">
        <f t="shared" si="3"/>
        <v>100</v>
      </c>
    </row>
    <row r="126" spans="1:5" ht="18" customHeight="1">
      <c r="A126" s="608" t="s">
        <v>322</v>
      </c>
      <c r="B126" s="612">
        <f>'AVAILABILITY DASHBOARD'!M145</f>
        <v>0</v>
      </c>
      <c r="C126" s="611">
        <f>24-'AVAILABILITY DASHBOARD'!H145</f>
        <v>23</v>
      </c>
      <c r="D126" s="611">
        <f t="shared" si="2"/>
        <v>0</v>
      </c>
      <c r="E126" s="613">
        <f t="shared" si="3"/>
        <v>100</v>
      </c>
    </row>
    <row r="127" spans="1:5" ht="18" customHeight="1">
      <c r="A127" s="608" t="s">
        <v>323</v>
      </c>
      <c r="B127" s="612">
        <f>'AVAILABILITY DASHBOARD'!M146</f>
        <v>0</v>
      </c>
      <c r="C127" s="611">
        <f>24-'AVAILABILITY DASHBOARD'!H146</f>
        <v>23</v>
      </c>
      <c r="D127" s="611">
        <f t="shared" si="2"/>
        <v>0</v>
      </c>
      <c r="E127" s="613">
        <f t="shared" si="3"/>
        <v>100</v>
      </c>
    </row>
    <row r="128" spans="1:5" ht="18" customHeight="1">
      <c r="A128" s="608" t="s">
        <v>325</v>
      </c>
      <c r="B128" s="612">
        <f>'AVAILABILITY DASHBOARD'!M147</f>
        <v>0</v>
      </c>
      <c r="C128" s="611">
        <f>24-'AVAILABILITY DASHBOARD'!H147</f>
        <v>23</v>
      </c>
      <c r="D128" s="611">
        <f t="shared" si="2"/>
        <v>0</v>
      </c>
      <c r="E128" s="613">
        <f t="shared" si="3"/>
        <v>100</v>
      </c>
    </row>
    <row r="129" spans="1:5" ht="18" customHeight="1">
      <c r="A129" s="608" t="s">
        <v>326</v>
      </c>
      <c r="B129" s="612" t="e">
        <f>'AVAILABILITY DASHBOARD'!#REF!</f>
        <v>#REF!</v>
      </c>
      <c r="C129" s="611" t="e">
        <f>24-'AVAILABILITY DASHBOARD'!#REF!</f>
        <v>#REF!</v>
      </c>
      <c r="D129" s="611" t="e">
        <f t="shared" si="2"/>
        <v>#REF!</v>
      </c>
      <c r="E129" s="613" t="e">
        <f t="shared" si="3"/>
        <v>#REF!</v>
      </c>
    </row>
    <row r="130" spans="1:5" ht="18" customHeight="1">
      <c r="A130" s="608" t="s">
        <v>327</v>
      </c>
      <c r="B130" s="612">
        <f>'AVAILABILITY DASHBOARD'!M148</f>
        <v>1</v>
      </c>
      <c r="C130" s="611">
        <f>24-'AVAILABILITY DASHBOARD'!H148</f>
        <v>23.34375</v>
      </c>
      <c r="D130" s="611">
        <f t="shared" si="2"/>
        <v>4.2838018741633198E-2</v>
      </c>
      <c r="E130" s="613">
        <f t="shared" si="3"/>
        <v>95.716198125836684</v>
      </c>
    </row>
    <row r="131" spans="1:5" ht="18" customHeight="1">
      <c r="A131" s="608" t="s">
        <v>328</v>
      </c>
      <c r="B131" s="612">
        <f>'AVAILABILITY DASHBOARD'!M149</f>
        <v>0</v>
      </c>
      <c r="C131" s="611">
        <f>24-'AVAILABILITY DASHBOARD'!H149</f>
        <v>23</v>
      </c>
      <c r="D131" s="611">
        <f t="shared" ref="D131:D194" si="4">B131/C131</f>
        <v>0</v>
      </c>
      <c r="E131" s="613">
        <f t="shared" ref="E131:E194" si="5">(1-D131)*100</f>
        <v>100</v>
      </c>
    </row>
    <row r="132" spans="1:5" ht="18" customHeight="1">
      <c r="A132" s="608" t="s">
        <v>329</v>
      </c>
      <c r="B132" s="612">
        <f>'AVAILABILITY DASHBOARD'!M150</f>
        <v>0</v>
      </c>
      <c r="C132" s="611">
        <f>24-'AVAILABILITY DASHBOARD'!H150</f>
        <v>23</v>
      </c>
      <c r="D132" s="611">
        <f t="shared" si="4"/>
        <v>0</v>
      </c>
      <c r="E132" s="613">
        <f t="shared" si="5"/>
        <v>100</v>
      </c>
    </row>
    <row r="133" spans="1:5" ht="18" customHeight="1">
      <c r="A133" s="608" t="s">
        <v>330</v>
      </c>
      <c r="B133" s="612">
        <f>'AVAILABILITY DASHBOARD'!M151</f>
        <v>0</v>
      </c>
      <c r="C133" s="611">
        <f>24-'AVAILABILITY DASHBOARD'!H151</f>
        <v>23</v>
      </c>
      <c r="D133" s="611">
        <f t="shared" si="4"/>
        <v>0</v>
      </c>
      <c r="E133" s="613">
        <f t="shared" si="5"/>
        <v>100</v>
      </c>
    </row>
    <row r="134" spans="1:5" ht="18" customHeight="1">
      <c r="A134" s="608" t="s">
        <v>332</v>
      </c>
      <c r="B134" s="612">
        <f>'AVAILABILITY DASHBOARD'!M152</f>
        <v>0</v>
      </c>
      <c r="C134" s="611">
        <f>24-'AVAILABILITY DASHBOARD'!H152</f>
        <v>23</v>
      </c>
      <c r="D134" s="611">
        <f t="shared" si="4"/>
        <v>0</v>
      </c>
      <c r="E134" s="613">
        <f t="shared" si="5"/>
        <v>100</v>
      </c>
    </row>
    <row r="135" spans="1:5" ht="18" customHeight="1">
      <c r="A135" s="608" t="s">
        <v>333</v>
      </c>
      <c r="B135" s="612">
        <f>'AVAILABILITY DASHBOARD'!M153</f>
        <v>0</v>
      </c>
      <c r="C135" s="611">
        <f>24-'AVAILABILITY DASHBOARD'!H153</f>
        <v>23</v>
      </c>
      <c r="D135" s="611">
        <f t="shared" si="4"/>
        <v>0</v>
      </c>
      <c r="E135" s="613">
        <f t="shared" si="5"/>
        <v>100</v>
      </c>
    </row>
    <row r="136" spans="1:5" ht="18" customHeight="1">
      <c r="A136" s="608" t="s">
        <v>335</v>
      </c>
      <c r="B136" s="612">
        <f>'AVAILABILITY DASHBOARD'!M154</f>
        <v>0</v>
      </c>
      <c r="C136" s="611">
        <f>24-'AVAILABILITY DASHBOARD'!H154</f>
        <v>24</v>
      </c>
      <c r="D136" s="611">
        <f t="shared" si="4"/>
        <v>0</v>
      </c>
      <c r="E136" s="613">
        <f t="shared" si="5"/>
        <v>100</v>
      </c>
    </row>
    <row r="137" spans="1:5" ht="18" customHeight="1">
      <c r="A137" s="608" t="s">
        <v>336</v>
      </c>
      <c r="B137" s="612">
        <f>'AVAILABILITY DASHBOARD'!M155</f>
        <v>0</v>
      </c>
      <c r="C137" s="611">
        <f>24-'AVAILABILITY DASHBOARD'!H155</f>
        <v>23</v>
      </c>
      <c r="D137" s="611">
        <f t="shared" si="4"/>
        <v>0</v>
      </c>
      <c r="E137" s="613">
        <f t="shared" si="5"/>
        <v>100</v>
      </c>
    </row>
    <row r="138" spans="1:5" ht="18" customHeight="1">
      <c r="A138" s="608" t="s">
        <v>338</v>
      </c>
      <c r="B138" s="612">
        <f>'AVAILABILITY DASHBOARD'!M156</f>
        <v>0</v>
      </c>
      <c r="C138" s="611">
        <f>24-'AVAILABILITY DASHBOARD'!H156</f>
        <v>23</v>
      </c>
      <c r="D138" s="611">
        <f t="shared" si="4"/>
        <v>0</v>
      </c>
      <c r="E138" s="613">
        <f t="shared" si="5"/>
        <v>100</v>
      </c>
    </row>
    <row r="139" spans="1:5" ht="18" customHeight="1">
      <c r="A139" s="608" t="s">
        <v>340</v>
      </c>
      <c r="B139" s="612">
        <f>'AVAILABILITY DASHBOARD'!M157</f>
        <v>0</v>
      </c>
      <c r="C139" s="611">
        <f>24-'AVAILABILITY DASHBOARD'!H157</f>
        <v>23</v>
      </c>
      <c r="D139" s="611">
        <f t="shared" si="4"/>
        <v>0</v>
      </c>
      <c r="E139" s="613">
        <f t="shared" si="5"/>
        <v>100</v>
      </c>
    </row>
    <row r="140" spans="1:5" ht="18" customHeight="1">
      <c r="A140" s="608" t="s">
        <v>341</v>
      </c>
      <c r="B140" s="612">
        <f>'AVAILABILITY DASHBOARD'!M158</f>
        <v>0</v>
      </c>
      <c r="C140" s="611">
        <f>24-'AVAILABILITY DASHBOARD'!H158</f>
        <v>24</v>
      </c>
      <c r="D140" s="611">
        <f t="shared" si="4"/>
        <v>0</v>
      </c>
      <c r="E140" s="613">
        <f t="shared" si="5"/>
        <v>100</v>
      </c>
    </row>
    <row r="141" spans="1:5" ht="18" customHeight="1">
      <c r="A141" s="608" t="s">
        <v>342</v>
      </c>
      <c r="B141" s="612">
        <f>'AVAILABILITY DASHBOARD'!M159</f>
        <v>0</v>
      </c>
      <c r="C141" s="611">
        <f>24-'AVAILABILITY DASHBOARD'!H159</f>
        <v>24</v>
      </c>
      <c r="D141" s="611">
        <f t="shared" si="4"/>
        <v>0</v>
      </c>
      <c r="E141" s="613">
        <f t="shared" si="5"/>
        <v>100</v>
      </c>
    </row>
    <row r="142" spans="1:5" ht="18" customHeight="1">
      <c r="A142" s="608" t="s">
        <v>343</v>
      </c>
      <c r="B142" s="612">
        <f>'AVAILABILITY DASHBOARD'!M160</f>
        <v>0</v>
      </c>
      <c r="C142" s="611">
        <f>24-'AVAILABILITY DASHBOARD'!H160</f>
        <v>24</v>
      </c>
      <c r="D142" s="611">
        <f t="shared" si="4"/>
        <v>0</v>
      </c>
      <c r="E142" s="613">
        <f t="shared" si="5"/>
        <v>100</v>
      </c>
    </row>
    <row r="143" spans="1:5" ht="18" customHeight="1">
      <c r="A143" s="608" t="s">
        <v>344</v>
      </c>
      <c r="B143" s="612">
        <f>'AVAILABILITY DASHBOARD'!M161</f>
        <v>0</v>
      </c>
      <c r="C143" s="611">
        <f>24-'AVAILABILITY DASHBOARD'!H161</f>
        <v>23</v>
      </c>
      <c r="D143" s="611">
        <f t="shared" si="4"/>
        <v>0</v>
      </c>
      <c r="E143" s="613">
        <f t="shared" si="5"/>
        <v>100</v>
      </c>
    </row>
    <row r="144" spans="1:5" ht="18" customHeight="1">
      <c r="A144" s="608" t="s">
        <v>345</v>
      </c>
      <c r="B144" s="612">
        <f>'AVAILABILITY DASHBOARD'!M162</f>
        <v>0</v>
      </c>
      <c r="C144" s="611">
        <f>24-'AVAILABILITY DASHBOARD'!H162</f>
        <v>24</v>
      </c>
      <c r="D144" s="611">
        <f t="shared" si="4"/>
        <v>0</v>
      </c>
      <c r="E144" s="613">
        <f t="shared" si="5"/>
        <v>100</v>
      </c>
    </row>
    <row r="145" spans="1:5" ht="18" customHeight="1">
      <c r="A145" s="608" t="s">
        <v>346</v>
      </c>
      <c r="B145" s="612">
        <f>'AVAILABILITY DASHBOARD'!M163</f>
        <v>0</v>
      </c>
      <c r="C145" s="611">
        <f>24-'AVAILABILITY DASHBOARD'!H163</f>
        <v>24</v>
      </c>
      <c r="D145" s="611">
        <f t="shared" si="4"/>
        <v>0</v>
      </c>
      <c r="E145" s="613">
        <f t="shared" si="5"/>
        <v>100</v>
      </c>
    </row>
    <row r="146" spans="1:5" ht="18" customHeight="1">
      <c r="A146" s="608" t="s">
        <v>347</v>
      </c>
      <c r="B146" s="612">
        <f>'AVAILABILITY DASHBOARD'!M164</f>
        <v>0</v>
      </c>
      <c r="C146" s="611">
        <f>24-'AVAILABILITY DASHBOARD'!H164</f>
        <v>23</v>
      </c>
      <c r="D146" s="611">
        <f t="shared" si="4"/>
        <v>0</v>
      </c>
      <c r="E146" s="613">
        <f t="shared" si="5"/>
        <v>100</v>
      </c>
    </row>
    <row r="147" spans="1:5" ht="18" customHeight="1">
      <c r="A147" s="608" t="s">
        <v>349</v>
      </c>
      <c r="B147" s="612">
        <f>'AVAILABILITY DASHBOARD'!M165</f>
        <v>0</v>
      </c>
      <c r="C147" s="611">
        <f>24-'AVAILABILITY DASHBOARD'!H165</f>
        <v>24</v>
      </c>
      <c r="D147" s="611">
        <f t="shared" si="4"/>
        <v>0</v>
      </c>
      <c r="E147" s="613">
        <f t="shared" si="5"/>
        <v>100</v>
      </c>
    </row>
    <row r="148" spans="1:5" ht="18" customHeight="1">
      <c r="A148" s="608" t="s">
        <v>350</v>
      </c>
      <c r="B148" s="612">
        <f>'AVAILABILITY DASHBOARD'!M166</f>
        <v>0</v>
      </c>
      <c r="C148" s="611">
        <f>24-'AVAILABILITY DASHBOARD'!H166</f>
        <v>24</v>
      </c>
      <c r="D148" s="611">
        <f t="shared" si="4"/>
        <v>0</v>
      </c>
      <c r="E148" s="613">
        <f t="shared" si="5"/>
        <v>100</v>
      </c>
    </row>
    <row r="149" spans="1:5" ht="18" customHeight="1">
      <c r="A149" s="608" t="s">
        <v>351</v>
      </c>
      <c r="B149" s="612">
        <f>'AVAILABILITY DASHBOARD'!M167</f>
        <v>0</v>
      </c>
      <c r="C149" s="611">
        <f>24-'AVAILABILITY DASHBOARD'!H167</f>
        <v>24</v>
      </c>
      <c r="D149" s="611">
        <f t="shared" si="4"/>
        <v>0</v>
      </c>
      <c r="E149" s="613">
        <f t="shared" si="5"/>
        <v>100</v>
      </c>
    </row>
    <row r="150" spans="1:5" ht="18" customHeight="1">
      <c r="A150" s="608" t="s">
        <v>352</v>
      </c>
      <c r="B150" s="612">
        <f>'AVAILABILITY DASHBOARD'!M168</f>
        <v>0</v>
      </c>
      <c r="C150" s="611">
        <f>24-'AVAILABILITY DASHBOARD'!H168</f>
        <v>24</v>
      </c>
      <c r="D150" s="611">
        <f t="shared" si="4"/>
        <v>0</v>
      </c>
      <c r="E150" s="613">
        <f t="shared" si="5"/>
        <v>100</v>
      </c>
    </row>
    <row r="151" spans="1:5" ht="18" customHeight="1">
      <c r="A151" s="608" t="s">
        <v>353</v>
      </c>
      <c r="B151" s="612">
        <f>'AVAILABILITY DASHBOARD'!M169</f>
        <v>0</v>
      </c>
      <c r="C151" s="611">
        <f>24-'AVAILABILITY DASHBOARD'!H169</f>
        <v>24</v>
      </c>
      <c r="D151" s="611">
        <f t="shared" si="4"/>
        <v>0</v>
      </c>
      <c r="E151" s="613">
        <f t="shared" si="5"/>
        <v>100</v>
      </c>
    </row>
    <row r="152" spans="1:5" ht="18" customHeight="1">
      <c r="A152" s="608" t="s">
        <v>354</v>
      </c>
      <c r="B152" s="612">
        <f>'AVAILABILITY DASHBOARD'!M170</f>
        <v>0</v>
      </c>
      <c r="C152" s="611">
        <f>24-'AVAILABILITY DASHBOARD'!H170</f>
        <v>24</v>
      </c>
      <c r="D152" s="611">
        <f t="shared" si="4"/>
        <v>0</v>
      </c>
      <c r="E152" s="613">
        <f t="shared" si="5"/>
        <v>100</v>
      </c>
    </row>
    <row r="153" spans="1:5" ht="18" customHeight="1">
      <c r="A153" s="608" t="s">
        <v>355</v>
      </c>
      <c r="B153" s="612">
        <f>'AVAILABILITY DASHBOARD'!M171</f>
        <v>0</v>
      </c>
      <c r="C153" s="611">
        <f>24-'AVAILABILITY DASHBOARD'!H171</f>
        <v>24</v>
      </c>
      <c r="D153" s="611">
        <f t="shared" si="4"/>
        <v>0</v>
      </c>
      <c r="E153" s="613">
        <f t="shared" si="5"/>
        <v>100</v>
      </c>
    </row>
    <row r="154" spans="1:5" ht="18" customHeight="1">
      <c r="A154" s="608" t="s">
        <v>356</v>
      </c>
      <c r="B154" s="612">
        <f>'AVAILABILITY DASHBOARD'!M172</f>
        <v>0</v>
      </c>
      <c r="C154" s="611">
        <f>24-'AVAILABILITY DASHBOARD'!H172</f>
        <v>24</v>
      </c>
      <c r="D154" s="611">
        <f t="shared" si="4"/>
        <v>0</v>
      </c>
      <c r="E154" s="613">
        <f t="shared" si="5"/>
        <v>100</v>
      </c>
    </row>
    <row r="155" spans="1:5" ht="18" customHeight="1">
      <c r="A155" s="608" t="s">
        <v>357</v>
      </c>
      <c r="B155" s="612">
        <f>'AVAILABILITY DASHBOARD'!M173</f>
        <v>0</v>
      </c>
      <c r="C155" s="611">
        <f>24-'AVAILABILITY DASHBOARD'!H173</f>
        <v>23</v>
      </c>
      <c r="D155" s="611">
        <f t="shared" si="4"/>
        <v>0</v>
      </c>
      <c r="E155" s="613">
        <f t="shared" si="5"/>
        <v>100</v>
      </c>
    </row>
    <row r="156" spans="1:5" ht="18" customHeight="1">
      <c r="A156" s="608" t="s">
        <v>359</v>
      </c>
      <c r="B156" s="612">
        <f>'AVAILABILITY DASHBOARD'!M174</f>
        <v>0</v>
      </c>
      <c r="C156" s="611">
        <f>24-'AVAILABILITY DASHBOARD'!H174</f>
        <v>23</v>
      </c>
      <c r="D156" s="611">
        <f t="shared" si="4"/>
        <v>0</v>
      </c>
      <c r="E156" s="613">
        <f t="shared" si="5"/>
        <v>100</v>
      </c>
    </row>
    <row r="157" spans="1:5" ht="18" customHeight="1">
      <c r="A157" s="608" t="s">
        <v>360</v>
      </c>
      <c r="B157" s="612">
        <f>'AVAILABILITY DASHBOARD'!M175</f>
        <v>0</v>
      </c>
      <c r="C157" s="611">
        <f>24-'AVAILABILITY DASHBOARD'!H175</f>
        <v>24</v>
      </c>
      <c r="D157" s="611">
        <f t="shared" si="4"/>
        <v>0</v>
      </c>
      <c r="E157" s="613">
        <f t="shared" si="5"/>
        <v>100</v>
      </c>
    </row>
    <row r="158" spans="1:5" ht="18" customHeight="1">
      <c r="A158" s="608" t="s">
        <v>361</v>
      </c>
      <c r="B158" s="612">
        <f>'AVAILABILITY DASHBOARD'!M176</f>
        <v>0</v>
      </c>
      <c r="C158" s="611">
        <f>24-'AVAILABILITY DASHBOARD'!H176</f>
        <v>23</v>
      </c>
      <c r="D158" s="611">
        <f t="shared" si="4"/>
        <v>0</v>
      </c>
      <c r="E158" s="613">
        <f t="shared" si="5"/>
        <v>100</v>
      </c>
    </row>
    <row r="159" spans="1:5" ht="18" customHeight="1">
      <c r="A159" s="608" t="s">
        <v>362</v>
      </c>
      <c r="B159" s="612">
        <f>'AVAILABILITY DASHBOARD'!M177</f>
        <v>0</v>
      </c>
      <c r="C159" s="611">
        <f>24-'AVAILABILITY DASHBOARD'!H177</f>
        <v>23</v>
      </c>
      <c r="D159" s="611">
        <f t="shared" si="4"/>
        <v>0</v>
      </c>
      <c r="E159" s="613">
        <f t="shared" si="5"/>
        <v>100</v>
      </c>
    </row>
    <row r="160" spans="1:5" ht="18" customHeight="1">
      <c r="A160" s="608" t="s">
        <v>363</v>
      </c>
      <c r="B160" s="612">
        <f>'AVAILABILITY DASHBOARD'!M178</f>
        <v>0</v>
      </c>
      <c r="C160" s="611">
        <f>24-'AVAILABILITY DASHBOARD'!H178</f>
        <v>24</v>
      </c>
      <c r="D160" s="611">
        <f t="shared" si="4"/>
        <v>0</v>
      </c>
      <c r="E160" s="613">
        <f t="shared" si="5"/>
        <v>100</v>
      </c>
    </row>
    <row r="161" spans="1:5" ht="18" customHeight="1">
      <c r="A161" s="608" t="s">
        <v>364</v>
      </c>
      <c r="B161" s="612">
        <f>'AVAILABILITY DASHBOARD'!M179</f>
        <v>0</v>
      </c>
      <c r="C161" s="611">
        <f>24-'AVAILABILITY DASHBOARD'!H179</f>
        <v>24</v>
      </c>
      <c r="D161" s="611">
        <f t="shared" si="4"/>
        <v>0</v>
      </c>
      <c r="E161" s="613">
        <f t="shared" si="5"/>
        <v>100</v>
      </c>
    </row>
    <row r="162" spans="1:5" ht="18" customHeight="1">
      <c r="A162" s="608" t="s">
        <v>365</v>
      </c>
      <c r="B162" s="612">
        <f>'AVAILABILITY DASHBOARD'!M180</f>
        <v>0</v>
      </c>
      <c r="C162" s="611">
        <f>24-'AVAILABILITY DASHBOARD'!H180</f>
        <v>24</v>
      </c>
      <c r="D162" s="611">
        <f t="shared" si="4"/>
        <v>0</v>
      </c>
      <c r="E162" s="613">
        <f t="shared" si="5"/>
        <v>100</v>
      </c>
    </row>
    <row r="163" spans="1:5" ht="18" customHeight="1">
      <c r="A163" s="608" t="s">
        <v>366</v>
      </c>
      <c r="B163" s="612">
        <f>'AVAILABILITY DASHBOARD'!M181</f>
        <v>0</v>
      </c>
      <c r="C163" s="611">
        <f>24-'AVAILABILITY DASHBOARD'!H181</f>
        <v>23</v>
      </c>
      <c r="D163" s="611">
        <f t="shared" si="4"/>
        <v>0</v>
      </c>
      <c r="E163" s="613">
        <f t="shared" si="5"/>
        <v>100</v>
      </c>
    </row>
    <row r="164" spans="1:5" ht="18" customHeight="1">
      <c r="A164" s="608" t="s">
        <v>367</v>
      </c>
      <c r="B164" s="612">
        <f>'AVAILABILITY DASHBOARD'!M182</f>
        <v>0</v>
      </c>
      <c r="C164" s="611">
        <f>24-'AVAILABILITY DASHBOARD'!H182</f>
        <v>24</v>
      </c>
      <c r="D164" s="611">
        <f t="shared" si="4"/>
        <v>0</v>
      </c>
      <c r="E164" s="613">
        <f t="shared" si="5"/>
        <v>100</v>
      </c>
    </row>
    <row r="165" spans="1:5" ht="18" customHeight="1">
      <c r="A165" s="608" t="s">
        <v>368</v>
      </c>
      <c r="B165" s="612">
        <f>'AVAILABILITY DASHBOARD'!M183</f>
        <v>0</v>
      </c>
      <c r="C165" s="611">
        <f>24-'AVAILABILITY DASHBOARD'!H183</f>
        <v>24</v>
      </c>
      <c r="D165" s="611">
        <f t="shared" si="4"/>
        <v>0</v>
      </c>
      <c r="E165" s="613">
        <f t="shared" si="5"/>
        <v>100</v>
      </c>
    </row>
    <row r="166" spans="1:5" ht="18" customHeight="1">
      <c r="A166" s="608" t="s">
        <v>369</v>
      </c>
      <c r="B166" s="612">
        <f>'AVAILABILITY DASHBOARD'!M184</f>
        <v>0</v>
      </c>
      <c r="C166" s="611">
        <f>24-'AVAILABILITY DASHBOARD'!H184</f>
        <v>24</v>
      </c>
      <c r="D166" s="611">
        <f t="shared" si="4"/>
        <v>0</v>
      </c>
      <c r="E166" s="613">
        <f t="shared" si="5"/>
        <v>100</v>
      </c>
    </row>
    <row r="167" spans="1:5" ht="18" customHeight="1">
      <c r="A167" s="608" t="s">
        <v>370</v>
      </c>
      <c r="B167" s="612">
        <f>'AVAILABILITY DASHBOARD'!M185</f>
        <v>0</v>
      </c>
      <c r="C167" s="611">
        <f>24-'AVAILABILITY DASHBOARD'!H185</f>
        <v>24</v>
      </c>
      <c r="D167" s="611">
        <f t="shared" si="4"/>
        <v>0</v>
      </c>
      <c r="E167" s="613">
        <f t="shared" si="5"/>
        <v>100</v>
      </c>
    </row>
    <row r="168" spans="1:5" ht="18" customHeight="1">
      <c r="A168" s="608" t="s">
        <v>371</v>
      </c>
      <c r="B168" s="612">
        <f>'AVAILABILITY DASHBOARD'!M186</f>
        <v>0</v>
      </c>
      <c r="C168" s="611">
        <f>24-'AVAILABILITY DASHBOARD'!H186</f>
        <v>24</v>
      </c>
      <c r="D168" s="611">
        <f t="shared" si="4"/>
        <v>0</v>
      </c>
      <c r="E168" s="613">
        <f t="shared" si="5"/>
        <v>100</v>
      </c>
    </row>
    <row r="169" spans="1:5" ht="18" customHeight="1">
      <c r="A169" s="608" t="s">
        <v>372</v>
      </c>
      <c r="B169" s="612">
        <f>'AVAILABILITY DASHBOARD'!M187</f>
        <v>0</v>
      </c>
      <c r="C169" s="611">
        <f>24-'AVAILABILITY DASHBOARD'!H187</f>
        <v>23</v>
      </c>
      <c r="D169" s="611">
        <f t="shared" si="4"/>
        <v>0</v>
      </c>
      <c r="E169" s="613">
        <f t="shared" si="5"/>
        <v>100</v>
      </c>
    </row>
    <row r="170" spans="1:5" ht="18" customHeight="1">
      <c r="A170" s="608" t="s">
        <v>374</v>
      </c>
      <c r="B170" s="612">
        <f>'AVAILABILITY DASHBOARD'!M188</f>
        <v>0</v>
      </c>
      <c r="C170" s="611">
        <f>24-'AVAILABILITY DASHBOARD'!H188</f>
        <v>23</v>
      </c>
      <c r="D170" s="611">
        <f t="shared" si="4"/>
        <v>0</v>
      </c>
      <c r="E170" s="613">
        <f t="shared" si="5"/>
        <v>100</v>
      </c>
    </row>
    <row r="171" spans="1:5" ht="18" customHeight="1">
      <c r="A171" s="608" t="s">
        <v>376</v>
      </c>
      <c r="B171" s="612">
        <f>'AVAILABILITY DASHBOARD'!M189</f>
        <v>0</v>
      </c>
      <c r="C171" s="611">
        <f>24-'AVAILABILITY DASHBOARD'!H189</f>
        <v>23</v>
      </c>
      <c r="D171" s="611">
        <f t="shared" si="4"/>
        <v>0</v>
      </c>
      <c r="E171" s="613">
        <f t="shared" si="5"/>
        <v>100</v>
      </c>
    </row>
    <row r="172" spans="1:5" ht="18" customHeight="1">
      <c r="A172" s="608" t="s">
        <v>377</v>
      </c>
      <c r="B172" s="612">
        <f>'AVAILABILITY DASHBOARD'!M190</f>
        <v>0</v>
      </c>
      <c r="C172" s="611">
        <f>24-'AVAILABILITY DASHBOARD'!H190</f>
        <v>24</v>
      </c>
      <c r="D172" s="611">
        <f t="shared" si="4"/>
        <v>0</v>
      </c>
      <c r="E172" s="613">
        <f t="shared" si="5"/>
        <v>100</v>
      </c>
    </row>
    <row r="173" spans="1:5" ht="18" customHeight="1">
      <c r="A173" s="608" t="s">
        <v>378</v>
      </c>
      <c r="B173" s="612">
        <f>'AVAILABILITY DASHBOARD'!M191</f>
        <v>0</v>
      </c>
      <c r="C173" s="611">
        <f>24-'AVAILABILITY DASHBOARD'!H191</f>
        <v>24</v>
      </c>
      <c r="D173" s="611">
        <f t="shared" si="4"/>
        <v>0</v>
      </c>
      <c r="E173" s="613">
        <f t="shared" si="5"/>
        <v>100</v>
      </c>
    </row>
    <row r="174" spans="1:5" ht="18" customHeight="1">
      <c r="A174" s="608" t="s">
        <v>379</v>
      </c>
      <c r="B174" s="612">
        <f>'AVAILABILITY DASHBOARD'!M192</f>
        <v>0</v>
      </c>
      <c r="C174" s="611">
        <f>24-'AVAILABILITY DASHBOARD'!H192</f>
        <v>24</v>
      </c>
      <c r="D174" s="611">
        <f t="shared" si="4"/>
        <v>0</v>
      </c>
      <c r="E174" s="613">
        <f t="shared" si="5"/>
        <v>100</v>
      </c>
    </row>
    <row r="175" spans="1:5" ht="18" customHeight="1">
      <c r="A175" s="608" t="s">
        <v>380</v>
      </c>
      <c r="B175" s="612">
        <f>'AVAILABILITY DASHBOARD'!M193</f>
        <v>0</v>
      </c>
      <c r="C175" s="611">
        <f>24-'AVAILABILITY DASHBOARD'!H193</f>
        <v>24</v>
      </c>
      <c r="D175" s="611">
        <f t="shared" si="4"/>
        <v>0</v>
      </c>
      <c r="E175" s="613">
        <f t="shared" si="5"/>
        <v>100</v>
      </c>
    </row>
    <row r="176" spans="1:5" ht="18" customHeight="1">
      <c r="A176" s="608" t="s">
        <v>381</v>
      </c>
      <c r="B176" s="612">
        <f>'AVAILABILITY DASHBOARD'!M194</f>
        <v>0</v>
      </c>
      <c r="C176" s="611">
        <f>24-'AVAILABILITY DASHBOARD'!H194</f>
        <v>23</v>
      </c>
      <c r="D176" s="611">
        <f t="shared" si="4"/>
        <v>0</v>
      </c>
      <c r="E176" s="613">
        <f t="shared" si="5"/>
        <v>100</v>
      </c>
    </row>
    <row r="177" spans="1:5" ht="18" customHeight="1">
      <c r="A177" s="608" t="s">
        <v>382</v>
      </c>
      <c r="B177" s="612">
        <f>'AVAILABILITY DASHBOARD'!M195</f>
        <v>0</v>
      </c>
      <c r="C177" s="611">
        <f>24-'AVAILABILITY DASHBOARD'!H195</f>
        <v>24</v>
      </c>
      <c r="D177" s="611">
        <f t="shared" si="4"/>
        <v>0</v>
      </c>
      <c r="E177" s="613">
        <f t="shared" si="5"/>
        <v>100</v>
      </c>
    </row>
    <row r="178" spans="1:5" ht="18" customHeight="1">
      <c r="A178" s="608" t="s">
        <v>383</v>
      </c>
      <c r="B178" s="612">
        <f>'AVAILABILITY DASHBOARD'!M196</f>
        <v>0</v>
      </c>
      <c r="C178" s="611">
        <f>24-'AVAILABILITY DASHBOARD'!H196</f>
        <v>23</v>
      </c>
      <c r="D178" s="611">
        <f t="shared" si="4"/>
        <v>0</v>
      </c>
      <c r="E178" s="613">
        <f t="shared" si="5"/>
        <v>100</v>
      </c>
    </row>
    <row r="179" spans="1:5" ht="18" customHeight="1">
      <c r="A179" s="608" t="s">
        <v>384</v>
      </c>
      <c r="B179" s="612">
        <f>'AVAILABILITY DASHBOARD'!M197</f>
        <v>0</v>
      </c>
      <c r="C179" s="611">
        <f>24-'AVAILABILITY DASHBOARD'!H197</f>
        <v>24</v>
      </c>
      <c r="D179" s="611">
        <f t="shared" si="4"/>
        <v>0</v>
      </c>
      <c r="E179" s="613">
        <f t="shared" si="5"/>
        <v>100</v>
      </c>
    </row>
    <row r="180" spans="1:5" ht="18" customHeight="1">
      <c r="A180" s="608" t="s">
        <v>385</v>
      </c>
      <c r="B180" s="612">
        <f>'AVAILABILITY DASHBOARD'!M198</f>
        <v>0</v>
      </c>
      <c r="C180" s="611">
        <f>24-'AVAILABILITY DASHBOARD'!H198</f>
        <v>24</v>
      </c>
      <c r="D180" s="611">
        <f t="shared" si="4"/>
        <v>0</v>
      </c>
      <c r="E180" s="613">
        <f t="shared" si="5"/>
        <v>100</v>
      </c>
    </row>
    <row r="181" spans="1:5" ht="18" customHeight="1">
      <c r="A181" s="608" t="s">
        <v>386</v>
      </c>
      <c r="B181" s="612">
        <f>'AVAILABILITY DASHBOARD'!M199</f>
        <v>0</v>
      </c>
      <c r="C181" s="611">
        <f>24-'AVAILABILITY DASHBOARD'!H199</f>
        <v>24</v>
      </c>
      <c r="D181" s="611">
        <f t="shared" si="4"/>
        <v>0</v>
      </c>
      <c r="E181" s="613">
        <f t="shared" si="5"/>
        <v>100</v>
      </c>
    </row>
    <row r="182" spans="1:5" ht="18" customHeight="1">
      <c r="A182" s="608" t="s">
        <v>387</v>
      </c>
      <c r="B182" s="612">
        <f>'AVAILABILITY DASHBOARD'!M200</f>
        <v>0</v>
      </c>
      <c r="C182" s="611">
        <f>24-'AVAILABILITY DASHBOARD'!H200</f>
        <v>24</v>
      </c>
      <c r="D182" s="611">
        <f t="shared" si="4"/>
        <v>0</v>
      </c>
      <c r="E182" s="613">
        <f t="shared" si="5"/>
        <v>100</v>
      </c>
    </row>
    <row r="183" spans="1:5" ht="18" customHeight="1">
      <c r="A183" s="608" t="s">
        <v>388</v>
      </c>
      <c r="B183" s="612">
        <f>'AVAILABILITY DASHBOARD'!M201</f>
        <v>0</v>
      </c>
      <c r="C183" s="611">
        <f>24-'AVAILABILITY DASHBOARD'!H201</f>
        <v>24</v>
      </c>
      <c r="D183" s="611">
        <f t="shared" si="4"/>
        <v>0</v>
      </c>
      <c r="E183" s="613">
        <f t="shared" si="5"/>
        <v>100</v>
      </c>
    </row>
    <row r="184" spans="1:5" ht="18" customHeight="1">
      <c r="A184" s="608" t="s">
        <v>389</v>
      </c>
      <c r="B184" s="612">
        <f>'AVAILABILITY DASHBOARD'!M202</f>
        <v>0</v>
      </c>
      <c r="C184" s="611">
        <f>24-'AVAILABILITY DASHBOARD'!H202</f>
        <v>24</v>
      </c>
      <c r="D184" s="611">
        <f t="shared" si="4"/>
        <v>0</v>
      </c>
      <c r="E184" s="613">
        <f t="shared" si="5"/>
        <v>100</v>
      </c>
    </row>
    <row r="185" spans="1:5" ht="18" customHeight="1">
      <c r="A185" s="608" t="s">
        <v>390</v>
      </c>
      <c r="B185" s="612">
        <f>'AVAILABILITY DASHBOARD'!M203</f>
        <v>0</v>
      </c>
      <c r="C185" s="611">
        <f>24-'AVAILABILITY DASHBOARD'!H203</f>
        <v>24</v>
      </c>
      <c r="D185" s="611">
        <f t="shared" si="4"/>
        <v>0</v>
      </c>
      <c r="E185" s="613">
        <f t="shared" si="5"/>
        <v>100</v>
      </c>
    </row>
    <row r="186" spans="1:5" ht="18" customHeight="1">
      <c r="A186" s="608" t="s">
        <v>391</v>
      </c>
      <c r="B186" s="612">
        <f>'AVAILABILITY DASHBOARD'!M204</f>
        <v>0</v>
      </c>
      <c r="C186" s="611">
        <f>24-'AVAILABILITY DASHBOARD'!H204</f>
        <v>23</v>
      </c>
      <c r="D186" s="611">
        <f t="shared" si="4"/>
        <v>0</v>
      </c>
      <c r="E186" s="613">
        <f t="shared" si="5"/>
        <v>100</v>
      </c>
    </row>
    <row r="187" spans="1:5" ht="18" customHeight="1">
      <c r="A187" s="608" t="s">
        <v>393</v>
      </c>
      <c r="B187" s="612">
        <f>'AVAILABILITY DASHBOARD'!M205</f>
        <v>0</v>
      </c>
      <c r="C187" s="611">
        <f>24-'AVAILABILITY DASHBOARD'!H205</f>
        <v>23</v>
      </c>
      <c r="D187" s="611">
        <f t="shared" si="4"/>
        <v>0</v>
      </c>
      <c r="E187" s="613">
        <f t="shared" si="5"/>
        <v>100</v>
      </c>
    </row>
    <row r="188" spans="1:5" ht="18" customHeight="1">
      <c r="A188" s="608" t="s">
        <v>394</v>
      </c>
      <c r="B188" s="612">
        <f>'AVAILABILITY DASHBOARD'!M206</f>
        <v>0</v>
      </c>
      <c r="C188" s="611">
        <f>24-'AVAILABILITY DASHBOARD'!H206</f>
        <v>24</v>
      </c>
      <c r="D188" s="611">
        <f t="shared" si="4"/>
        <v>0</v>
      </c>
      <c r="E188" s="613">
        <f t="shared" si="5"/>
        <v>100</v>
      </c>
    </row>
    <row r="189" spans="1:5" ht="18" customHeight="1">
      <c r="A189" s="608" t="s">
        <v>395</v>
      </c>
      <c r="B189" s="612">
        <f>'AVAILABILITY DASHBOARD'!M207</f>
        <v>0</v>
      </c>
      <c r="C189" s="611">
        <f>24-'AVAILABILITY DASHBOARD'!H207</f>
        <v>24</v>
      </c>
      <c r="D189" s="611">
        <f t="shared" si="4"/>
        <v>0</v>
      </c>
      <c r="E189" s="613">
        <f t="shared" si="5"/>
        <v>100</v>
      </c>
    </row>
    <row r="190" spans="1:5" ht="18" customHeight="1">
      <c r="A190" s="608" t="s">
        <v>396</v>
      </c>
      <c r="B190" s="612">
        <f>'AVAILABILITY DASHBOARD'!M208</f>
        <v>0</v>
      </c>
      <c r="C190" s="611">
        <f>24-'AVAILABILITY DASHBOARD'!H208</f>
        <v>24</v>
      </c>
      <c r="D190" s="611">
        <f t="shared" si="4"/>
        <v>0</v>
      </c>
      <c r="E190" s="613">
        <f t="shared" si="5"/>
        <v>100</v>
      </c>
    </row>
    <row r="191" spans="1:5" ht="18" customHeight="1">
      <c r="A191" s="608" t="s">
        <v>397</v>
      </c>
      <c r="B191" s="612">
        <f>'AVAILABILITY DASHBOARD'!M209</f>
        <v>0</v>
      </c>
      <c r="C191" s="611">
        <f>24-'AVAILABILITY DASHBOARD'!H209</f>
        <v>24</v>
      </c>
      <c r="D191" s="611">
        <f t="shared" si="4"/>
        <v>0</v>
      </c>
      <c r="E191" s="613">
        <f t="shared" si="5"/>
        <v>100</v>
      </c>
    </row>
    <row r="192" spans="1:5" ht="18" customHeight="1">
      <c r="A192" s="608" t="s">
        <v>398</v>
      </c>
      <c r="B192" s="612">
        <f>'AVAILABILITY DASHBOARD'!M210</f>
        <v>0</v>
      </c>
      <c r="C192" s="611">
        <f>24-'AVAILABILITY DASHBOARD'!H210</f>
        <v>24</v>
      </c>
      <c r="D192" s="611">
        <f t="shared" si="4"/>
        <v>0</v>
      </c>
      <c r="E192" s="613">
        <f t="shared" si="5"/>
        <v>100</v>
      </c>
    </row>
    <row r="193" spans="1:5" ht="18" customHeight="1">
      <c r="A193" s="608" t="s">
        <v>399</v>
      </c>
      <c r="B193" s="612">
        <f>'AVAILABILITY DASHBOARD'!M211</f>
        <v>0</v>
      </c>
      <c r="C193" s="611">
        <f>24-'AVAILABILITY DASHBOARD'!H211</f>
        <v>24</v>
      </c>
      <c r="D193" s="611">
        <f t="shared" si="4"/>
        <v>0</v>
      </c>
      <c r="E193" s="613">
        <f t="shared" si="5"/>
        <v>100</v>
      </c>
    </row>
    <row r="194" spans="1:5" ht="18" customHeight="1">
      <c r="A194" s="608" t="s">
        <v>400</v>
      </c>
      <c r="B194" s="612">
        <f>'AVAILABILITY DASHBOARD'!M212</f>
        <v>0</v>
      </c>
      <c r="C194" s="611">
        <f>24-'AVAILABILITY DASHBOARD'!H212</f>
        <v>24</v>
      </c>
      <c r="D194" s="611">
        <f t="shared" si="4"/>
        <v>0</v>
      </c>
      <c r="E194" s="613">
        <f t="shared" si="5"/>
        <v>100</v>
      </c>
    </row>
    <row r="195" spans="1:5" ht="18" customHeight="1">
      <c r="A195" s="608" t="s">
        <v>401</v>
      </c>
      <c r="B195" s="612">
        <f>'AVAILABILITY DASHBOARD'!M213</f>
        <v>0</v>
      </c>
      <c r="C195" s="611">
        <f>24-'AVAILABILITY DASHBOARD'!H213</f>
        <v>24</v>
      </c>
      <c r="D195" s="611">
        <f t="shared" ref="D195:D243" si="6">B195/C195</f>
        <v>0</v>
      </c>
      <c r="E195" s="613">
        <f t="shared" ref="E195:E243" si="7">(1-D195)*100</f>
        <v>100</v>
      </c>
    </row>
    <row r="196" spans="1:5" ht="18" customHeight="1">
      <c r="A196" s="608" t="s">
        <v>402</v>
      </c>
      <c r="B196" s="612">
        <f>'AVAILABILITY DASHBOARD'!M214</f>
        <v>0</v>
      </c>
      <c r="C196" s="611">
        <f>24-'AVAILABILITY DASHBOARD'!H214</f>
        <v>24</v>
      </c>
      <c r="D196" s="611">
        <f t="shared" si="6"/>
        <v>0</v>
      </c>
      <c r="E196" s="613">
        <f t="shared" si="7"/>
        <v>100</v>
      </c>
    </row>
    <row r="197" spans="1:5" ht="18" customHeight="1">
      <c r="A197" s="608" t="s">
        <v>403</v>
      </c>
      <c r="B197" s="612">
        <f>'AVAILABILITY DASHBOARD'!M215</f>
        <v>0</v>
      </c>
      <c r="C197" s="611">
        <f>24-'AVAILABILITY DASHBOARD'!H215</f>
        <v>24</v>
      </c>
      <c r="D197" s="611">
        <f t="shared" si="6"/>
        <v>0</v>
      </c>
      <c r="E197" s="613">
        <f t="shared" si="7"/>
        <v>100</v>
      </c>
    </row>
    <row r="198" spans="1:5" ht="18" customHeight="1">
      <c r="A198" s="608" t="s">
        <v>404</v>
      </c>
      <c r="B198" s="612" t="e">
        <f>'AVAILABILITY DASHBOARD'!#REF!</f>
        <v>#REF!</v>
      </c>
      <c r="C198" s="611" t="e">
        <f>24-'AVAILABILITY DASHBOARD'!#REF!</f>
        <v>#REF!</v>
      </c>
      <c r="D198" s="611" t="e">
        <f t="shared" si="6"/>
        <v>#REF!</v>
      </c>
      <c r="E198" s="613" t="e">
        <f t="shared" si="7"/>
        <v>#REF!</v>
      </c>
    </row>
    <row r="199" spans="1:5" ht="18" customHeight="1">
      <c r="A199" s="608" t="s">
        <v>405</v>
      </c>
      <c r="B199" s="612" t="e">
        <f>'AVAILABILITY DASHBOARD'!#REF!</f>
        <v>#REF!</v>
      </c>
      <c r="C199" s="611" t="e">
        <f>24-'AVAILABILITY DASHBOARD'!#REF!</f>
        <v>#REF!</v>
      </c>
      <c r="D199" s="611" t="e">
        <f t="shared" si="6"/>
        <v>#REF!</v>
      </c>
      <c r="E199" s="613" t="e">
        <f t="shared" si="7"/>
        <v>#REF!</v>
      </c>
    </row>
    <row r="200" spans="1:5" ht="18" customHeight="1">
      <c r="A200" s="608" t="s">
        <v>406</v>
      </c>
      <c r="B200" s="612">
        <f>'AVAILABILITY DASHBOARD'!M216</f>
        <v>0</v>
      </c>
      <c r="C200" s="611">
        <f>24-'AVAILABILITY DASHBOARD'!H216</f>
        <v>24</v>
      </c>
      <c r="D200" s="611">
        <f t="shared" si="6"/>
        <v>0</v>
      </c>
      <c r="E200" s="613">
        <f t="shared" si="7"/>
        <v>100</v>
      </c>
    </row>
    <row r="201" spans="1:5" ht="18" customHeight="1">
      <c r="A201" s="608" t="s">
        <v>407</v>
      </c>
      <c r="B201" s="612">
        <f>'AVAILABILITY DASHBOARD'!M217</f>
        <v>0</v>
      </c>
      <c r="C201" s="611">
        <f>24-'AVAILABILITY DASHBOARD'!H217</f>
        <v>24</v>
      </c>
      <c r="D201" s="611">
        <f t="shared" si="6"/>
        <v>0</v>
      </c>
      <c r="E201" s="613">
        <f t="shared" si="7"/>
        <v>100</v>
      </c>
    </row>
    <row r="202" spans="1:5" ht="18" customHeight="1">
      <c r="A202" s="608" t="s">
        <v>408</v>
      </c>
      <c r="B202" s="612">
        <f>'AVAILABILITY DASHBOARD'!M218</f>
        <v>0</v>
      </c>
      <c r="C202" s="611">
        <f>24-'AVAILABILITY DASHBOARD'!H218</f>
        <v>24</v>
      </c>
      <c r="D202" s="611">
        <f t="shared" si="6"/>
        <v>0</v>
      </c>
      <c r="E202" s="613">
        <f t="shared" si="7"/>
        <v>100</v>
      </c>
    </row>
    <row r="203" spans="1:5" ht="18" customHeight="1">
      <c r="A203" s="608" t="s">
        <v>409</v>
      </c>
      <c r="B203" s="612">
        <f>'AVAILABILITY DASHBOARD'!M219</f>
        <v>0</v>
      </c>
      <c r="C203" s="611">
        <f>24-'AVAILABILITY DASHBOARD'!H219</f>
        <v>24</v>
      </c>
      <c r="D203" s="611">
        <f t="shared" si="6"/>
        <v>0</v>
      </c>
      <c r="E203" s="613">
        <f t="shared" si="7"/>
        <v>100</v>
      </c>
    </row>
    <row r="204" spans="1:5" ht="18" customHeight="1">
      <c r="A204" s="608" t="s">
        <v>410</v>
      </c>
      <c r="B204" s="612">
        <f>'AVAILABILITY DASHBOARD'!M220</f>
        <v>0</v>
      </c>
      <c r="C204" s="611">
        <f>24-'AVAILABILITY DASHBOARD'!H220</f>
        <v>24</v>
      </c>
      <c r="D204" s="611">
        <f t="shared" si="6"/>
        <v>0</v>
      </c>
      <c r="E204" s="613">
        <f t="shared" si="7"/>
        <v>100</v>
      </c>
    </row>
    <row r="205" spans="1:5" ht="18" customHeight="1">
      <c r="A205" s="608" t="s">
        <v>411</v>
      </c>
      <c r="B205" s="612">
        <f>'AVAILABILITY DASHBOARD'!M221</f>
        <v>3</v>
      </c>
      <c r="C205" s="611">
        <f>24-'AVAILABILITY DASHBOARD'!H221</f>
        <v>23.954861111111111</v>
      </c>
      <c r="D205" s="611">
        <f t="shared" si="6"/>
        <v>0.1252355413828091</v>
      </c>
      <c r="E205" s="613">
        <f t="shared" si="7"/>
        <v>87.476445861719085</v>
      </c>
    </row>
    <row r="206" spans="1:5" ht="18" customHeight="1">
      <c r="A206" s="608" t="s">
        <v>412</v>
      </c>
      <c r="B206" s="612">
        <f>'AVAILABILITY DASHBOARD'!M222</f>
        <v>0</v>
      </c>
      <c r="C206" s="611">
        <f>24-'AVAILABILITY DASHBOARD'!H222</f>
        <v>24</v>
      </c>
      <c r="D206" s="611">
        <f t="shared" si="6"/>
        <v>0</v>
      </c>
      <c r="E206" s="613">
        <f t="shared" si="7"/>
        <v>100</v>
      </c>
    </row>
    <row r="207" spans="1:5" ht="18" customHeight="1">
      <c r="A207" s="608" t="s">
        <v>413</v>
      </c>
      <c r="B207" s="612">
        <f>'AVAILABILITY DASHBOARD'!M223</f>
        <v>0</v>
      </c>
      <c r="C207" s="611">
        <f>24-'AVAILABILITY DASHBOARD'!H223</f>
        <v>24</v>
      </c>
      <c r="D207" s="611">
        <f t="shared" si="6"/>
        <v>0</v>
      </c>
      <c r="E207" s="613">
        <f t="shared" si="7"/>
        <v>100</v>
      </c>
    </row>
    <row r="208" spans="1:5" ht="18" customHeight="1">
      <c r="A208" s="608" t="s">
        <v>414</v>
      </c>
      <c r="B208" s="612">
        <f>'AVAILABILITY DASHBOARD'!M224</f>
        <v>0</v>
      </c>
      <c r="C208" s="611">
        <f>24-'AVAILABILITY DASHBOARD'!H224</f>
        <v>24</v>
      </c>
      <c r="D208" s="611">
        <f t="shared" si="6"/>
        <v>0</v>
      </c>
      <c r="E208" s="613">
        <f t="shared" si="7"/>
        <v>100</v>
      </c>
    </row>
    <row r="209" spans="1:5" ht="18" customHeight="1">
      <c r="A209" s="608" t="s">
        <v>415</v>
      </c>
      <c r="B209" s="612">
        <f>'AVAILABILITY DASHBOARD'!M225</f>
        <v>0</v>
      </c>
      <c r="C209" s="611">
        <f>24-'AVAILABILITY DASHBOARD'!H225</f>
        <v>24</v>
      </c>
      <c r="D209" s="611">
        <f t="shared" si="6"/>
        <v>0</v>
      </c>
      <c r="E209" s="613">
        <f t="shared" si="7"/>
        <v>100</v>
      </c>
    </row>
    <row r="210" spans="1:5" ht="18" customHeight="1">
      <c r="A210" s="608" t="s">
        <v>416</v>
      </c>
      <c r="B210" s="612">
        <f>'AVAILABILITY DASHBOARD'!M226</f>
        <v>0</v>
      </c>
      <c r="C210" s="611">
        <f>24-'AVAILABILITY DASHBOARD'!H226</f>
        <v>24</v>
      </c>
      <c r="D210" s="611">
        <f t="shared" si="6"/>
        <v>0</v>
      </c>
      <c r="E210" s="613">
        <f t="shared" si="7"/>
        <v>100</v>
      </c>
    </row>
    <row r="211" spans="1:5" ht="18" customHeight="1">
      <c r="A211" s="608" t="s">
        <v>417</v>
      </c>
      <c r="B211" s="612">
        <f>'AVAILABILITY DASHBOARD'!M227</f>
        <v>0</v>
      </c>
      <c r="C211" s="611">
        <f>24-'AVAILABILITY DASHBOARD'!H227</f>
        <v>24</v>
      </c>
      <c r="D211" s="611">
        <f t="shared" si="6"/>
        <v>0</v>
      </c>
      <c r="E211" s="613">
        <f t="shared" si="7"/>
        <v>100</v>
      </c>
    </row>
    <row r="212" spans="1:5" ht="18" customHeight="1">
      <c r="A212" s="608" t="s">
        <v>418</v>
      </c>
      <c r="B212" s="612">
        <f>'AVAILABILITY DASHBOARD'!M228</f>
        <v>0</v>
      </c>
      <c r="C212" s="611">
        <f>24-'AVAILABILITY DASHBOARD'!H228</f>
        <v>24</v>
      </c>
      <c r="D212" s="611">
        <f t="shared" si="6"/>
        <v>0</v>
      </c>
      <c r="E212" s="613">
        <f t="shared" si="7"/>
        <v>100</v>
      </c>
    </row>
    <row r="213" spans="1:5" ht="18" customHeight="1">
      <c r="A213" s="608" t="s">
        <v>419</v>
      </c>
      <c r="B213" s="612" t="e">
        <f>'AVAILABILITY DASHBOARD'!#REF!</f>
        <v>#REF!</v>
      </c>
      <c r="C213" s="611" t="e">
        <f>24-'AVAILABILITY DASHBOARD'!#REF!</f>
        <v>#REF!</v>
      </c>
      <c r="D213" s="611" t="e">
        <f t="shared" si="6"/>
        <v>#REF!</v>
      </c>
      <c r="E213" s="613" t="e">
        <f t="shared" si="7"/>
        <v>#REF!</v>
      </c>
    </row>
    <row r="214" spans="1:5" ht="18" customHeight="1">
      <c r="A214" s="608" t="s">
        <v>420</v>
      </c>
      <c r="B214" s="612">
        <f>'AVAILABILITY DASHBOARD'!M229</f>
        <v>0</v>
      </c>
      <c r="C214" s="611">
        <f>24-'AVAILABILITY DASHBOARD'!H229</f>
        <v>24</v>
      </c>
      <c r="D214" s="611">
        <f t="shared" si="6"/>
        <v>0</v>
      </c>
      <c r="E214" s="613">
        <f t="shared" si="7"/>
        <v>100</v>
      </c>
    </row>
    <row r="215" spans="1:5" ht="18" customHeight="1">
      <c r="A215" s="608" t="s">
        <v>421</v>
      </c>
      <c r="B215" s="612">
        <f>'AVAILABILITY DASHBOARD'!M230</f>
        <v>0</v>
      </c>
      <c r="C215" s="611">
        <f>24-'AVAILABILITY DASHBOARD'!H230</f>
        <v>23</v>
      </c>
      <c r="D215" s="611">
        <f t="shared" si="6"/>
        <v>0</v>
      </c>
      <c r="E215" s="613">
        <f t="shared" si="7"/>
        <v>100</v>
      </c>
    </row>
    <row r="216" spans="1:5" ht="18" customHeight="1">
      <c r="A216" s="608" t="s">
        <v>422</v>
      </c>
      <c r="B216" s="612" t="e">
        <f>'AVAILABILITY DASHBOARD'!#REF!</f>
        <v>#REF!</v>
      </c>
      <c r="C216" s="611" t="e">
        <f>24-'AVAILABILITY DASHBOARD'!#REF!</f>
        <v>#REF!</v>
      </c>
      <c r="D216" s="611" t="e">
        <f t="shared" si="6"/>
        <v>#REF!</v>
      </c>
      <c r="E216" s="613" t="e">
        <f t="shared" si="7"/>
        <v>#REF!</v>
      </c>
    </row>
    <row r="217" spans="1:5" ht="18" customHeight="1">
      <c r="A217" s="608" t="s">
        <v>423</v>
      </c>
      <c r="B217" s="612">
        <f>'AVAILABILITY DASHBOARD'!M231</f>
        <v>0</v>
      </c>
      <c r="C217" s="611">
        <f>24-'AVAILABILITY DASHBOARD'!H231</f>
        <v>24</v>
      </c>
      <c r="D217" s="611">
        <f t="shared" si="6"/>
        <v>0</v>
      </c>
      <c r="E217" s="613">
        <f t="shared" si="7"/>
        <v>100</v>
      </c>
    </row>
    <row r="218" spans="1:5" ht="18" customHeight="1">
      <c r="A218" s="608" t="s">
        <v>424</v>
      </c>
      <c r="B218" s="612" t="e">
        <f>'AVAILABILITY DASHBOARD'!#REF!</f>
        <v>#REF!</v>
      </c>
      <c r="C218" s="611" t="e">
        <f>24-'AVAILABILITY DASHBOARD'!#REF!</f>
        <v>#REF!</v>
      </c>
      <c r="D218" s="611" t="e">
        <f t="shared" si="6"/>
        <v>#REF!</v>
      </c>
      <c r="E218" s="613" t="e">
        <f t="shared" si="7"/>
        <v>#REF!</v>
      </c>
    </row>
    <row r="219" spans="1:5" ht="18" customHeight="1">
      <c r="A219" s="608" t="s">
        <v>425</v>
      </c>
      <c r="B219" s="612">
        <f>'AVAILABILITY DASHBOARD'!M232</f>
        <v>0</v>
      </c>
      <c r="C219" s="611">
        <f>24-'AVAILABILITY DASHBOARD'!H232</f>
        <v>23</v>
      </c>
      <c r="D219" s="611">
        <f t="shared" si="6"/>
        <v>0</v>
      </c>
      <c r="E219" s="613">
        <f t="shared" si="7"/>
        <v>100</v>
      </c>
    </row>
    <row r="220" spans="1:5" ht="18" customHeight="1">
      <c r="A220" s="608" t="s">
        <v>426</v>
      </c>
      <c r="B220" s="612">
        <f>'AVAILABILITY DASHBOARD'!M233</f>
        <v>0</v>
      </c>
      <c r="C220" s="611">
        <f>24-'AVAILABILITY DASHBOARD'!H233</f>
        <v>24</v>
      </c>
      <c r="D220" s="611">
        <f t="shared" si="6"/>
        <v>0</v>
      </c>
      <c r="E220" s="613">
        <f t="shared" si="7"/>
        <v>100</v>
      </c>
    </row>
    <row r="221" spans="1:5" ht="18" customHeight="1">
      <c r="A221" s="608" t="s">
        <v>427</v>
      </c>
      <c r="B221" s="612">
        <f>'AVAILABILITY DASHBOARD'!M234</f>
        <v>1</v>
      </c>
      <c r="C221" s="611">
        <f>24-'AVAILABILITY DASHBOARD'!H234</f>
        <v>23.979166666666668</v>
      </c>
      <c r="D221" s="611">
        <f t="shared" si="6"/>
        <v>4.1702867072111204E-2</v>
      </c>
      <c r="E221" s="613">
        <f t="shared" si="7"/>
        <v>95.829713292788881</v>
      </c>
    </row>
    <row r="222" spans="1:5" ht="18" customHeight="1">
      <c r="A222" s="608" t="s">
        <v>428</v>
      </c>
      <c r="B222" s="612">
        <f>'AVAILABILITY DASHBOARD'!M235</f>
        <v>0</v>
      </c>
      <c r="C222" s="611">
        <f>24-'AVAILABILITY DASHBOARD'!H235</f>
        <v>24</v>
      </c>
      <c r="D222" s="611">
        <f t="shared" si="6"/>
        <v>0</v>
      </c>
      <c r="E222" s="613">
        <f t="shared" si="7"/>
        <v>100</v>
      </c>
    </row>
    <row r="223" spans="1:5" ht="18" customHeight="1">
      <c r="A223" s="608" t="s">
        <v>429</v>
      </c>
      <c r="B223" s="612">
        <f>'AVAILABILITY DASHBOARD'!M236</f>
        <v>0</v>
      </c>
      <c r="C223" s="611">
        <f>24-'AVAILABILITY DASHBOARD'!H236</f>
        <v>24</v>
      </c>
      <c r="D223" s="611">
        <f t="shared" si="6"/>
        <v>0</v>
      </c>
      <c r="E223" s="613">
        <f t="shared" si="7"/>
        <v>100</v>
      </c>
    </row>
    <row r="224" spans="1:5" ht="18" customHeight="1">
      <c r="A224" s="608" t="s">
        <v>549</v>
      </c>
      <c r="B224" s="612">
        <f>'AVAILABILITY DASHBOARD'!M237</f>
        <v>0</v>
      </c>
      <c r="C224" s="611">
        <f>24-'AVAILABILITY DASHBOARD'!H237</f>
        <v>24</v>
      </c>
      <c r="D224" s="611">
        <f t="shared" si="6"/>
        <v>0</v>
      </c>
      <c r="E224" s="613">
        <f t="shared" si="7"/>
        <v>100</v>
      </c>
    </row>
    <row r="225" spans="1:5" ht="18" customHeight="1">
      <c r="A225" s="608" t="s">
        <v>550</v>
      </c>
      <c r="B225" s="612">
        <f>'AVAILABILITY DASHBOARD'!M238</f>
        <v>0</v>
      </c>
      <c r="C225" s="611">
        <f>24-'AVAILABILITY DASHBOARD'!H238</f>
        <v>24</v>
      </c>
      <c r="D225" s="611">
        <f t="shared" si="6"/>
        <v>0</v>
      </c>
      <c r="E225" s="613">
        <f t="shared" si="7"/>
        <v>100</v>
      </c>
    </row>
    <row r="226" spans="1:5" ht="18" customHeight="1">
      <c r="A226" s="608" t="s">
        <v>551</v>
      </c>
      <c r="B226" s="612">
        <f>'AVAILABILITY DASHBOARD'!M239</f>
        <v>0</v>
      </c>
      <c r="C226" s="611">
        <f>24-'AVAILABILITY DASHBOARD'!H239</f>
        <v>24</v>
      </c>
      <c r="D226" s="611">
        <f t="shared" si="6"/>
        <v>0</v>
      </c>
      <c r="E226" s="613">
        <f t="shared" si="7"/>
        <v>100</v>
      </c>
    </row>
    <row r="227" spans="1:5" ht="18" customHeight="1">
      <c r="A227" s="608" t="s">
        <v>552</v>
      </c>
      <c r="B227" s="612">
        <f>'AVAILABILITY DASHBOARD'!M240</f>
        <v>0</v>
      </c>
      <c r="C227" s="611">
        <f>24-'AVAILABILITY DASHBOARD'!H240</f>
        <v>24</v>
      </c>
      <c r="D227" s="611">
        <f t="shared" si="6"/>
        <v>0</v>
      </c>
      <c r="E227" s="613">
        <f t="shared" si="7"/>
        <v>100</v>
      </c>
    </row>
    <row r="228" spans="1:5" ht="18" customHeight="1">
      <c r="A228" s="608" t="s">
        <v>553</v>
      </c>
      <c r="B228" s="612">
        <f>'AVAILABILITY DASHBOARD'!M241</f>
        <v>0</v>
      </c>
      <c r="C228" s="611">
        <f>24-'AVAILABILITY DASHBOARD'!H241</f>
        <v>24</v>
      </c>
      <c r="D228" s="611">
        <f t="shared" si="6"/>
        <v>0</v>
      </c>
      <c r="E228" s="613">
        <f t="shared" si="7"/>
        <v>100</v>
      </c>
    </row>
    <row r="229" spans="1:5" ht="18" customHeight="1">
      <c r="A229" s="608" t="s">
        <v>554</v>
      </c>
      <c r="B229" s="612">
        <f>'AVAILABILITY DASHBOARD'!M242</f>
        <v>0</v>
      </c>
      <c r="C229" s="611">
        <f>24-'AVAILABILITY DASHBOARD'!H242</f>
        <v>24</v>
      </c>
      <c r="D229" s="611">
        <f t="shared" si="6"/>
        <v>0</v>
      </c>
      <c r="E229" s="613">
        <f t="shared" si="7"/>
        <v>100</v>
      </c>
    </row>
    <row r="230" spans="1:5" ht="18" customHeight="1">
      <c r="A230" s="608" t="s">
        <v>555</v>
      </c>
      <c r="B230" s="612">
        <f>'AVAILABILITY DASHBOARD'!M243</f>
        <v>0</v>
      </c>
      <c r="C230" s="611">
        <f>24-'AVAILABILITY DASHBOARD'!H243</f>
        <v>24</v>
      </c>
      <c r="D230" s="611">
        <f t="shared" si="6"/>
        <v>0</v>
      </c>
      <c r="E230" s="613">
        <f t="shared" si="7"/>
        <v>100</v>
      </c>
    </row>
    <row r="231" spans="1:5" ht="18" customHeight="1">
      <c r="A231" s="608" t="s">
        <v>556</v>
      </c>
      <c r="B231" s="612">
        <f>'AVAILABILITY DASHBOARD'!M244</f>
        <v>0</v>
      </c>
      <c r="C231" s="611">
        <f>24-'AVAILABILITY DASHBOARD'!H244</f>
        <v>24</v>
      </c>
      <c r="D231" s="611">
        <f t="shared" si="6"/>
        <v>0</v>
      </c>
      <c r="E231" s="613">
        <f t="shared" si="7"/>
        <v>100</v>
      </c>
    </row>
    <row r="232" spans="1:5" ht="18" customHeight="1">
      <c r="A232" s="608" t="s">
        <v>557</v>
      </c>
      <c r="B232" s="612">
        <f>'AVAILABILITY DASHBOARD'!M245</f>
        <v>0</v>
      </c>
      <c r="C232" s="611">
        <f>24-'AVAILABILITY DASHBOARD'!H245</f>
        <v>24</v>
      </c>
      <c r="D232" s="611">
        <f t="shared" si="6"/>
        <v>0</v>
      </c>
      <c r="E232" s="613">
        <f t="shared" si="7"/>
        <v>100</v>
      </c>
    </row>
    <row r="233" spans="1:5" ht="18" customHeight="1">
      <c r="A233" s="608" t="s">
        <v>558</v>
      </c>
      <c r="B233" s="612">
        <f>'AVAILABILITY DASHBOARD'!M246</f>
        <v>0</v>
      </c>
      <c r="C233" s="611">
        <f>24-'AVAILABILITY DASHBOARD'!H246</f>
        <v>24</v>
      </c>
      <c r="D233" s="611">
        <f t="shared" si="6"/>
        <v>0</v>
      </c>
      <c r="E233" s="613">
        <f t="shared" si="7"/>
        <v>100</v>
      </c>
    </row>
    <row r="234" spans="1:5" ht="18" customHeight="1">
      <c r="A234" s="608" t="s">
        <v>559</v>
      </c>
      <c r="B234" s="612">
        <f>'AVAILABILITY DASHBOARD'!M247</f>
        <v>0</v>
      </c>
      <c r="C234" s="611">
        <f>24-'AVAILABILITY DASHBOARD'!H247</f>
        <v>24</v>
      </c>
      <c r="D234" s="611">
        <f t="shared" si="6"/>
        <v>0</v>
      </c>
      <c r="E234" s="613">
        <f t="shared" si="7"/>
        <v>100</v>
      </c>
    </row>
    <row r="235" spans="1:5" ht="18" customHeight="1">
      <c r="A235" s="608" t="s">
        <v>560</v>
      </c>
      <c r="B235" s="612">
        <f>'AVAILABILITY DASHBOARD'!M248</f>
        <v>0</v>
      </c>
      <c r="C235" s="611">
        <f>24-'AVAILABILITY DASHBOARD'!H248</f>
        <v>24</v>
      </c>
      <c r="D235" s="611">
        <f t="shared" si="6"/>
        <v>0</v>
      </c>
      <c r="E235" s="613">
        <f t="shared" si="7"/>
        <v>100</v>
      </c>
    </row>
    <row r="236" spans="1:5" ht="18" customHeight="1">
      <c r="A236" s="608" t="s">
        <v>561</v>
      </c>
      <c r="B236" s="612">
        <f>'AVAILABILITY DASHBOARD'!M249</f>
        <v>0</v>
      </c>
      <c r="C236" s="611">
        <f>24-'AVAILABILITY DASHBOARD'!H249</f>
        <v>24</v>
      </c>
      <c r="D236" s="611">
        <f t="shared" si="6"/>
        <v>0</v>
      </c>
      <c r="E236" s="613">
        <f t="shared" si="7"/>
        <v>100</v>
      </c>
    </row>
    <row r="237" spans="1:5" ht="18" customHeight="1">
      <c r="A237" s="608" t="s">
        <v>562</v>
      </c>
      <c r="B237" s="612">
        <f>'AVAILABILITY DASHBOARD'!M250</f>
        <v>0</v>
      </c>
      <c r="C237" s="611">
        <f>24-'AVAILABILITY DASHBOARD'!H250</f>
        <v>24</v>
      </c>
      <c r="D237" s="611">
        <f t="shared" si="6"/>
        <v>0</v>
      </c>
      <c r="E237" s="613">
        <f t="shared" si="7"/>
        <v>100</v>
      </c>
    </row>
    <row r="238" spans="1:5" ht="18" customHeight="1">
      <c r="A238" s="608" t="s">
        <v>563</v>
      </c>
      <c r="B238" s="612">
        <f>'AVAILABILITY DASHBOARD'!M251</f>
        <v>0</v>
      </c>
      <c r="C238" s="611">
        <f>24-'AVAILABILITY DASHBOARD'!H251</f>
        <v>24</v>
      </c>
      <c r="D238" s="611">
        <f t="shared" si="6"/>
        <v>0</v>
      </c>
      <c r="E238" s="613">
        <f t="shared" si="7"/>
        <v>100</v>
      </c>
    </row>
    <row r="239" spans="1:5" ht="18" customHeight="1">
      <c r="A239" s="608" t="s">
        <v>564</v>
      </c>
      <c r="B239" s="612">
        <f>'AVAILABILITY DASHBOARD'!M252</f>
        <v>0</v>
      </c>
      <c r="C239" s="611">
        <f>24-'AVAILABILITY DASHBOARD'!H252</f>
        <v>24</v>
      </c>
      <c r="D239" s="611">
        <f t="shared" si="6"/>
        <v>0</v>
      </c>
      <c r="E239" s="613">
        <f t="shared" si="7"/>
        <v>100</v>
      </c>
    </row>
    <row r="240" spans="1:5" ht="18" customHeight="1">
      <c r="A240" s="608" t="s">
        <v>565</v>
      </c>
      <c r="B240" s="612">
        <f>'AVAILABILITY DASHBOARD'!M253</f>
        <v>0</v>
      </c>
      <c r="C240" s="611">
        <f>24-'AVAILABILITY DASHBOARD'!H253</f>
        <v>24</v>
      </c>
      <c r="D240" s="611">
        <f t="shared" si="6"/>
        <v>0</v>
      </c>
      <c r="E240" s="613">
        <f t="shared" si="7"/>
        <v>100</v>
      </c>
    </row>
    <row r="241" spans="1:5" ht="18" customHeight="1">
      <c r="A241" s="608" t="s">
        <v>566</v>
      </c>
      <c r="B241" s="612">
        <f>'AVAILABILITY DASHBOARD'!M254</f>
        <v>0</v>
      </c>
      <c r="C241" s="611">
        <f>24-'AVAILABILITY DASHBOARD'!H254</f>
        <v>24</v>
      </c>
      <c r="D241" s="611">
        <f t="shared" si="6"/>
        <v>0</v>
      </c>
      <c r="E241" s="613">
        <f t="shared" si="7"/>
        <v>100</v>
      </c>
    </row>
    <row r="242" spans="1:5" ht="18" customHeight="1">
      <c r="A242" s="608" t="s">
        <v>567</v>
      </c>
      <c r="B242" s="612">
        <f>'AVAILABILITY DASHBOARD'!M255</f>
        <v>0</v>
      </c>
      <c r="C242" s="611">
        <f>24-'AVAILABILITY DASHBOARD'!H255</f>
        <v>24</v>
      </c>
      <c r="D242" s="611">
        <f t="shared" si="6"/>
        <v>0</v>
      </c>
      <c r="E242" s="613">
        <f t="shared" si="7"/>
        <v>100</v>
      </c>
    </row>
    <row r="243" spans="1:5" ht="18" customHeight="1">
      <c r="A243" s="608" t="s">
        <v>568</v>
      </c>
      <c r="B243" s="612">
        <f>'AVAILABILITY DASHBOARD'!M256</f>
        <v>0</v>
      </c>
      <c r="C243" s="611">
        <f>24-'AVAILABILITY DASHBOARD'!H256</f>
        <v>24</v>
      </c>
      <c r="D243" s="611">
        <f t="shared" si="6"/>
        <v>0</v>
      </c>
      <c r="E243" s="613">
        <f t="shared" si="7"/>
        <v>100</v>
      </c>
    </row>
  </sheetData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topLeftCell="A12" zoomScale="136" zoomScaleNormal="136" workbookViewId="0">
      <selection activeCell="A13" sqref="A13"/>
    </sheetView>
  </sheetViews>
  <sheetFormatPr defaultColWidth="8.7109375" defaultRowHeight="16.5"/>
  <cols>
    <col min="1" max="1" width="12.28515625" style="1" customWidth="1"/>
    <col min="2" max="2" width="11.42578125" style="1" customWidth="1"/>
    <col min="3" max="3" width="11.7109375" style="1" bestFit="1" customWidth="1"/>
    <col min="4" max="4" width="10.28515625" style="1" customWidth="1"/>
    <col min="5" max="5" width="11.42578125" style="1" customWidth="1"/>
    <col min="6" max="6" width="11.7109375" style="1" customWidth="1"/>
    <col min="7" max="7" width="17.42578125" style="1" customWidth="1"/>
    <col min="8" max="8" width="13.28515625" style="1" customWidth="1"/>
    <col min="9" max="16384" width="8.7109375" style="1"/>
  </cols>
  <sheetData>
    <row r="1" spans="1:8" ht="22.5">
      <c r="A1" s="1021" t="s">
        <v>485</v>
      </c>
      <c r="B1" s="1022"/>
      <c r="C1" s="1022"/>
      <c r="D1" s="1022"/>
      <c r="E1" s="1022"/>
      <c r="F1" s="1022"/>
      <c r="G1" s="1022"/>
      <c r="H1" s="1023"/>
    </row>
    <row r="2" spans="1:8" ht="29.25" customHeight="1">
      <c r="A2" s="1025" t="s">
        <v>81</v>
      </c>
      <c r="B2" s="1025" t="s">
        <v>37</v>
      </c>
      <c r="C2" s="1026" t="s">
        <v>486</v>
      </c>
      <c r="D2" s="1024" t="s">
        <v>577</v>
      </c>
      <c r="E2" s="1024"/>
      <c r="F2" s="1024"/>
      <c r="G2" s="1027" t="s">
        <v>487</v>
      </c>
      <c r="H2" s="1020" t="s">
        <v>576</v>
      </c>
    </row>
    <row r="3" spans="1:8" ht="17.25">
      <c r="A3" s="1025"/>
      <c r="B3" s="1025"/>
      <c r="C3" s="1026"/>
      <c r="D3" s="639" t="s">
        <v>488</v>
      </c>
      <c r="E3" s="639" t="s">
        <v>489</v>
      </c>
      <c r="F3" s="639" t="s">
        <v>490</v>
      </c>
      <c r="G3" s="1027"/>
      <c r="H3" s="1020"/>
    </row>
    <row r="4" spans="1:8" ht="17.25">
      <c r="A4" s="640" t="s">
        <v>9</v>
      </c>
      <c r="B4" s="641">
        <f>'AVAILABILITY DASHBOARD'!D5</f>
        <v>16</v>
      </c>
      <c r="C4" s="641">
        <f>'AVAILABILITY DASHBOARD'!E5</f>
        <v>15</v>
      </c>
      <c r="D4" s="642">
        <f>CONVERT('STS RMG FAULTS'!D25,"hr","min")</f>
        <v>40.833333333333336</v>
      </c>
      <c r="E4" s="642">
        <f>CONVERT('STS RMG FAULTS'!H25,"hr","min")</f>
        <v>25.625000000000004</v>
      </c>
      <c r="F4" s="642">
        <f>CONVERT('STS RMG FAULTS'!L25,"hr","min")</f>
        <v>22.916666666666668</v>
      </c>
      <c r="G4" s="643">
        <f>'STS RMG FAULTS'!O26</f>
        <v>1.4895833333333333</v>
      </c>
      <c r="H4" s="644">
        <f>'AVAILABILITY DASHBOARD'!G22</f>
        <v>89.375</v>
      </c>
    </row>
    <row r="5" spans="1:8" ht="17.25">
      <c r="A5" s="640" t="s">
        <v>11</v>
      </c>
      <c r="B5" s="641">
        <f>'AVAILABILITY DASHBOARD'!D22</f>
        <v>8</v>
      </c>
      <c r="C5" s="641">
        <f>'AVAILABILITY DASHBOARD'!E22</f>
        <v>7</v>
      </c>
      <c r="D5" s="642">
        <f>CONVERT('STS RMG FAULTS'!D37,"hr","min")</f>
        <v>20</v>
      </c>
      <c r="E5" s="642">
        <f>CONVERT('STS RMG FAULTS'!H37,"hr","min")</f>
        <v>20</v>
      </c>
      <c r="F5" s="642">
        <f>CONVERT('STS RMG FAULTS'!L37,"hr","min")</f>
        <v>22.916666666666668</v>
      </c>
      <c r="G5" s="643">
        <f>'STS RMG FAULTS'!O37</f>
        <v>1.0486111111111112</v>
      </c>
      <c r="H5" s="644">
        <f>'AVAILABILITY DASHBOARD'!G31</f>
        <v>62.916666666666664</v>
      </c>
    </row>
    <row r="6" spans="1:8" ht="17.25">
      <c r="A6" s="640" t="s">
        <v>491</v>
      </c>
      <c r="B6" s="641">
        <f>'AVAILABILITY DASHBOARD'!D31</f>
        <v>52</v>
      </c>
      <c r="C6" s="641">
        <f>'AVAILABILITY DASHBOARD'!E31</f>
        <v>43</v>
      </c>
      <c r="D6" s="642">
        <f>CONVERT('RTG&amp;HARBOUR FAULTS'!C71,"hr","min")</f>
        <v>300.62499999999994</v>
      </c>
      <c r="E6" s="642">
        <f>CONVERT('RTG&amp;HARBOUR FAULTS'!G71,"hr","min")</f>
        <v>284.58333333333331</v>
      </c>
      <c r="F6" s="642">
        <f>CONVERT('RTG&amp;HARBOUR FAULTS'!K71,"hr","min")</f>
        <v>297.08333333333331</v>
      </c>
      <c r="G6" s="643">
        <f>'RTG&amp;HARBOUR FAULTS'!N72</f>
        <v>16.739583333333336</v>
      </c>
      <c r="H6" s="644">
        <f>'AVAILABILITY DASHBOARD'!G93</f>
        <v>942.29166666666674</v>
      </c>
    </row>
    <row r="7" spans="1:8" ht="17.25">
      <c r="A7" s="640" t="s">
        <v>74</v>
      </c>
      <c r="B7" s="641">
        <f>'AVAILABILITY DASHBOARD'!D93</f>
        <v>4</v>
      </c>
      <c r="C7" s="641">
        <f>'AVAILABILITY DASHBOARD'!E93</f>
        <v>2</v>
      </c>
      <c r="D7" s="642">
        <f>CONVERT('RTG&amp;HARBOUR FAULTS'!C79,"hr","min")</f>
        <v>20</v>
      </c>
      <c r="E7" s="642">
        <f>CONVERT('RTG&amp;HARBOUR FAULTS'!G79,"hr","min")</f>
        <v>21.249999999999996</v>
      </c>
      <c r="F7" s="642">
        <f>CONVERT('RTG&amp;HARBOUR FAULTS'!K79,"hr","min")</f>
        <v>20</v>
      </c>
      <c r="G7" s="643">
        <f>'RTG&amp;HARBOUR FAULTS'!N79</f>
        <v>1.0208333333333333</v>
      </c>
      <c r="H7" s="644">
        <f>'AVAILABILITY DASHBOARD'!G98</f>
        <v>61.25</v>
      </c>
    </row>
    <row r="8" spans="1:8" ht="17.25">
      <c r="A8" s="640" t="s">
        <v>124</v>
      </c>
      <c r="B8" s="641">
        <f>'AVAILABILITY DASHBOARD'!D98</f>
        <v>19</v>
      </c>
      <c r="C8" s="641">
        <f>'AVAILABILITY DASHBOARD'!E98</f>
        <v>10</v>
      </c>
      <c r="D8" s="642">
        <f>CONVERT('CONTAINER HANDLERS FAULTS'!D30,"hr","min")</f>
        <v>198.54166666666666</v>
      </c>
      <c r="E8" s="642">
        <f>CONVERT('CONTAINER HANDLERS FAULTS'!H30,"hr","min")</f>
        <v>182.50000000000003</v>
      </c>
      <c r="F8" s="642">
        <f>CONVERT('CONTAINER HANDLERS FAULTS'!L30,"hr","min")</f>
        <v>197.91666666666666</v>
      </c>
      <c r="G8" s="643">
        <f>'CONTAINER HANDLERS FAULTS'!O30</f>
        <v>9.6493055555555554</v>
      </c>
      <c r="H8" s="644">
        <f>'AVAILABILITY DASHBOARD'!G118</f>
        <v>578.95833333333337</v>
      </c>
    </row>
    <row r="9" spans="1:8" ht="17.25">
      <c r="A9" s="640" t="s">
        <v>23</v>
      </c>
      <c r="B9" s="641">
        <f>'AVAILABILITY DASHBOARD'!D118</f>
        <v>21</v>
      </c>
      <c r="C9" s="641">
        <f>'AVAILABILITY DASHBOARD'!E118</f>
        <v>13</v>
      </c>
      <c r="D9" s="642">
        <f>CONVERT('CONTAINER HANDLERS FAULTS'!D52,"hr","min")</f>
        <v>140.625</v>
      </c>
      <c r="E9" s="642">
        <f>CONVERT('CONTAINER HANDLERS FAULTS'!H52,"hr","min")</f>
        <v>139.99999999999997</v>
      </c>
      <c r="F9" s="642">
        <f>CONVERT('CONTAINER HANDLERS FAULTS'!L52,"hr","min")</f>
        <v>142.08333333333334</v>
      </c>
      <c r="G9" s="643">
        <f>'CONTAINER HANDLERS FAULTS'!O52</f>
        <v>7.0451388888888893</v>
      </c>
      <c r="H9" s="644">
        <f>'AVAILABILITY DASHBOARD'!G140</f>
        <v>422.70833333333331</v>
      </c>
    </row>
    <row r="10" spans="1:8" ht="17.25">
      <c r="A10" s="640" t="s">
        <v>492</v>
      </c>
      <c r="B10" s="641">
        <f>'AVAILABILITY DASHBOARD'!D140</f>
        <v>116</v>
      </c>
      <c r="C10" s="641">
        <f>'AVAILABILITY DASHBOARD'!E140</f>
        <v>85</v>
      </c>
      <c r="D10" s="642">
        <f>CONVERT('TERMINAL TRACTORS'!C125,"hr","min")</f>
        <v>600.83333333333337</v>
      </c>
      <c r="E10" s="642">
        <f>CONVERT('TERMINAL TRACTORS'!G125,"hr","min")</f>
        <v>620</v>
      </c>
      <c r="F10" s="642">
        <f>CONVERT('TERMINAL TRACTORS'!K125,"hr","min")</f>
        <v>622.50000000000011</v>
      </c>
      <c r="G10" s="643" t="e">
        <f>'TERMINAL TRACTORS'!#REF!</f>
        <v>#REF!</v>
      </c>
      <c r="H10" s="644">
        <f>'AVAILABILITY DASHBOARD'!G262</f>
        <v>1843.3333333333333</v>
      </c>
    </row>
    <row r="11" spans="1:8">
      <c r="A11" s="2"/>
      <c r="B11" s="2"/>
      <c r="C11" s="2"/>
      <c r="D11" s="2"/>
      <c r="E11" s="2"/>
      <c r="F11" s="2"/>
      <c r="G11" s="645"/>
      <c r="H11" s="2"/>
    </row>
    <row r="12" spans="1:8" ht="22.5">
      <c r="A12" s="1022" t="s">
        <v>493</v>
      </c>
      <c r="B12" s="1022"/>
      <c r="C12" s="1022"/>
      <c r="D12" s="1022"/>
      <c r="E12" s="1022"/>
      <c r="F12" s="1022"/>
      <c r="G12" s="1022"/>
      <c r="H12" s="1023"/>
    </row>
    <row r="13" spans="1:8" ht="17.25">
      <c r="A13" s="640" t="s">
        <v>9</v>
      </c>
      <c r="B13" s="646" t="str">
        <f>'OTHER REPORTS'!C32</f>
        <v>STS1804</v>
      </c>
      <c r="C13" s="646" t="str">
        <f>'OTHER REPORTS'!D32</f>
        <v>NIL</v>
      </c>
      <c r="D13" s="646"/>
      <c r="E13" s="646"/>
      <c r="F13" s="646"/>
      <c r="G13" s="647"/>
      <c r="H13" s="2"/>
    </row>
    <row r="14" spans="1:8" ht="17.25">
      <c r="A14" s="640" t="s">
        <v>11</v>
      </c>
      <c r="B14" s="646" t="str">
        <f>'OTHER REPORTS'!C33</f>
        <v>NIL</v>
      </c>
      <c r="C14" s="646" t="str">
        <f>'OTHER REPORTS'!D33</f>
        <v>NIL</v>
      </c>
      <c r="D14" s="646"/>
      <c r="E14" s="646"/>
      <c r="F14" s="646"/>
      <c r="G14" s="647"/>
      <c r="H14" s="2"/>
    </row>
    <row r="15" spans="1:8" ht="17.25">
      <c r="A15" s="640" t="s">
        <v>491</v>
      </c>
      <c r="B15" s="646" t="str">
        <f>'OTHER REPORTS'!C34</f>
        <v>RTG211</v>
      </c>
      <c r="C15" s="646" t="str">
        <f>'OTHER REPORTS'!D34</f>
        <v>RTG217</v>
      </c>
      <c r="D15" s="646"/>
      <c r="E15" s="646"/>
      <c r="F15" s="646"/>
      <c r="G15" s="647"/>
      <c r="H15" s="2"/>
    </row>
    <row r="16" spans="1:8" ht="17.25">
      <c r="A16" s="640" t="s">
        <v>74</v>
      </c>
      <c r="B16" s="646" t="str">
        <f>'OTHER REPORTS'!C35</f>
        <v>NIL</v>
      </c>
      <c r="C16" s="646" t="str">
        <f>'OTHER REPORTS'!D35</f>
        <v>NIL</v>
      </c>
      <c r="D16" s="646"/>
      <c r="E16" s="646"/>
      <c r="F16" s="646"/>
      <c r="G16" s="647"/>
      <c r="H16" s="2"/>
    </row>
    <row r="17" spans="1:8" ht="17.25">
      <c r="A17" s="640" t="s">
        <v>494</v>
      </c>
      <c r="B17" s="646" t="str">
        <f>'OTHER REPORTS'!C36</f>
        <v>HK39</v>
      </c>
      <c r="C17" s="646" t="str">
        <f>'OTHER REPORTS'!D36</f>
        <v>NIL</v>
      </c>
      <c r="D17" s="646"/>
      <c r="E17" s="646"/>
      <c r="F17" s="646"/>
      <c r="G17" s="647"/>
      <c r="H17" s="2"/>
    </row>
    <row r="18" spans="1:8" ht="17.25">
      <c r="A18" s="640" t="s">
        <v>492</v>
      </c>
      <c r="B18" s="646" t="str">
        <f>'OTHER REPORTS'!C37</f>
        <v>KTT221</v>
      </c>
      <c r="C18" s="646" t="str">
        <f>'OTHER REPORTS'!D37</f>
        <v>KTT193, TTT167</v>
      </c>
      <c r="D18" s="646"/>
      <c r="E18" s="646"/>
      <c r="F18" s="646"/>
      <c r="G18" s="647"/>
      <c r="H18" s="2"/>
    </row>
    <row r="19" spans="1:8" ht="17.25">
      <c r="A19" s="640" t="s">
        <v>146</v>
      </c>
      <c r="B19" s="646" t="str">
        <f>'OTHER REPORTS'!C38</f>
        <v>HTR263</v>
      </c>
      <c r="C19" s="646"/>
      <c r="D19" s="646"/>
      <c r="E19" s="646"/>
      <c r="F19" s="646"/>
      <c r="G19" s="647"/>
      <c r="H19" s="2"/>
    </row>
    <row r="20" spans="1:8" ht="17.25">
      <c r="A20" s="640" t="s">
        <v>147</v>
      </c>
      <c r="B20" s="646" t="str">
        <f>'OTHER REPORTS'!C39</f>
        <v>OHS179</v>
      </c>
      <c r="C20" s="646"/>
      <c r="D20" s="646"/>
      <c r="E20" s="646"/>
      <c r="F20" s="646"/>
      <c r="G20" s="647"/>
      <c r="H20" s="2"/>
    </row>
  </sheetData>
  <sheetProtection algorithmName="SHA-512" hashValue="aODBgN6VZrRCaGfYxUhycm6WaslBmx6c/57dkkIHp08b4r8kFmyUnMwld8Y3yhaI83IrLfOi9SyN+UdCoYTdgg==" saltValue="GZhWCFrtbU4Up1t98k423w==" spinCount="100000" sheet="1" objects="1" scenarios="1"/>
  <mergeCells count="8">
    <mergeCell ref="H2:H3"/>
    <mergeCell ref="A1:H1"/>
    <mergeCell ref="A12:H12"/>
    <mergeCell ref="D2:F2"/>
    <mergeCell ref="A2:A3"/>
    <mergeCell ref="B2:B3"/>
    <mergeCell ref="C2:C3"/>
    <mergeCell ref="G2:G3"/>
  </mergeCells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5"/>
  <sheetData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109375" defaultRowHeight="15"/>
  <sheetData/>
  <pageMargins left="0.7" right="0.7" top="0.75" bottom="0.75" header="0.3" footer="0.3"/>
  <pageSetup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6"/>
  <sheetViews>
    <sheetView zoomScaleNormal="100" workbookViewId="0">
      <selection activeCell="J24" sqref="J24:O38"/>
    </sheetView>
  </sheetViews>
  <sheetFormatPr defaultColWidth="9.28515625" defaultRowHeight="16.5"/>
  <cols>
    <col min="1" max="1" width="9.28515625" style="1"/>
    <col min="2" max="2" width="4" style="1" customWidth="1"/>
    <col min="3" max="3" width="9.28515625" style="1"/>
    <col min="4" max="4" width="0.7109375" style="1" customWidth="1"/>
    <col min="5" max="5" width="11.7109375" style="1" bestFit="1" customWidth="1"/>
    <col min="6" max="6" width="4.7109375" style="1" customWidth="1"/>
    <col min="7" max="7" width="6.7109375" style="1" customWidth="1"/>
    <col min="8" max="8" width="11.7109375" style="1" bestFit="1" customWidth="1"/>
    <col min="9" max="9" width="10.7109375" style="1" customWidth="1"/>
    <col min="10" max="10" width="9.28515625" style="1"/>
    <col min="11" max="11" width="4.7109375" style="1" customWidth="1"/>
    <col min="12" max="12" width="10.7109375" style="1" bestFit="1" customWidth="1"/>
    <col min="13" max="13" width="0.7109375" style="1" customWidth="1"/>
    <col min="14" max="14" width="14.28515625" style="1" customWidth="1"/>
    <col min="15" max="15" width="10.28515625" style="1" bestFit="1" customWidth="1"/>
    <col min="16" max="16384" width="9.28515625" style="1"/>
  </cols>
  <sheetData>
    <row r="1" spans="1:15" ht="21">
      <c r="A1" s="1057" t="s">
        <v>495</v>
      </c>
      <c r="B1" s="1058"/>
      <c r="C1" s="1058"/>
      <c r="D1" s="1058"/>
      <c r="E1" s="1058"/>
      <c r="F1" s="1058"/>
      <c r="G1" s="1058"/>
      <c r="H1" s="1058"/>
      <c r="I1" s="1058"/>
      <c r="J1" s="1058"/>
      <c r="K1" s="1058"/>
      <c r="L1" s="1058"/>
      <c r="M1" s="1058"/>
      <c r="N1" s="1058"/>
      <c r="O1" s="1058"/>
    </row>
    <row r="2" spans="1:15" ht="3.75" customHeight="1"/>
    <row r="3" spans="1:15" ht="17.25">
      <c r="A3" s="75" t="s">
        <v>496</v>
      </c>
      <c r="B3" s="1059">
        <v>42149</v>
      </c>
      <c r="C3" s="1059"/>
      <c r="D3" s="1059"/>
      <c r="E3" s="1060"/>
      <c r="F3" s="1060"/>
      <c r="G3" s="1060"/>
    </row>
    <row r="4" spans="1:15" ht="17.25">
      <c r="A4" s="76" t="s">
        <v>497</v>
      </c>
      <c r="B4" s="77"/>
      <c r="C4" s="77"/>
      <c r="D4" s="78"/>
      <c r="E4" s="1061" t="s">
        <v>498</v>
      </c>
      <c r="F4" s="1061"/>
      <c r="G4" s="1061"/>
      <c r="H4" s="1061"/>
      <c r="I4" s="1061"/>
    </row>
    <row r="5" spans="1:15" ht="3" customHeight="1"/>
    <row r="6" spans="1:15">
      <c r="A6" s="1062" t="s">
        <v>499</v>
      </c>
      <c r="B6" s="1063" t="s">
        <v>500</v>
      </c>
      <c r="C6" s="1063"/>
      <c r="E6" s="1069" t="s">
        <v>501</v>
      </c>
      <c r="F6" s="1070"/>
      <c r="G6" s="1070"/>
      <c r="H6" s="1070"/>
      <c r="I6" s="1064" t="s">
        <v>502</v>
      </c>
      <c r="J6" s="1064"/>
      <c r="K6" s="1064"/>
      <c r="L6" s="1064"/>
      <c r="M6" s="88"/>
      <c r="N6" s="1065" t="s">
        <v>139</v>
      </c>
      <c r="O6" s="1065"/>
    </row>
    <row r="7" spans="1:15" ht="14.25" customHeight="1">
      <c r="A7" s="1062"/>
      <c r="B7" s="1063"/>
      <c r="C7" s="1063"/>
      <c r="E7" s="1054" t="s">
        <v>503</v>
      </c>
      <c r="F7" s="1054"/>
      <c r="G7" s="1054"/>
      <c r="H7" s="79" t="s">
        <v>504</v>
      </c>
      <c r="I7" s="1054" t="s">
        <v>503</v>
      </c>
      <c r="J7" s="1054"/>
      <c r="K7" s="1054"/>
      <c r="L7" s="79" t="s">
        <v>504</v>
      </c>
      <c r="M7" s="89"/>
      <c r="N7" s="2" t="s">
        <v>505</v>
      </c>
      <c r="O7" s="2" t="s">
        <v>506</v>
      </c>
    </row>
    <row r="8" spans="1:15">
      <c r="A8" s="1062"/>
      <c r="B8" s="1063"/>
      <c r="C8" s="1063"/>
      <c r="E8" s="1032" t="s">
        <v>498</v>
      </c>
      <c r="F8" s="1046"/>
      <c r="G8" s="1046"/>
      <c r="H8" s="80" t="s">
        <v>507</v>
      </c>
      <c r="I8" s="1034" t="s">
        <v>508</v>
      </c>
      <c r="J8" s="1034"/>
      <c r="K8" s="1034"/>
      <c r="L8" s="80"/>
      <c r="M8" s="86"/>
      <c r="N8" s="2" t="s">
        <v>509</v>
      </c>
      <c r="O8" s="2" t="s">
        <v>510</v>
      </c>
    </row>
    <row r="9" spans="1:15">
      <c r="A9" s="1062"/>
      <c r="B9" s="1063"/>
      <c r="C9" s="1063"/>
      <c r="E9" s="1032" t="s">
        <v>257</v>
      </c>
      <c r="F9" s="1046"/>
      <c r="G9" s="1046"/>
      <c r="H9" s="80" t="s">
        <v>476</v>
      </c>
      <c r="I9" s="1034" t="s">
        <v>511</v>
      </c>
      <c r="J9" s="1034"/>
      <c r="K9" s="1034"/>
      <c r="L9" s="80"/>
      <c r="M9" s="86"/>
      <c r="N9" s="2" t="s">
        <v>512</v>
      </c>
      <c r="O9" s="2" t="s">
        <v>510</v>
      </c>
    </row>
    <row r="10" spans="1:15">
      <c r="A10" s="1062"/>
      <c r="B10" s="1063"/>
      <c r="C10" s="1063"/>
      <c r="E10" s="1032" t="s">
        <v>513</v>
      </c>
      <c r="F10" s="1046"/>
      <c r="G10" s="1046"/>
      <c r="H10" s="80" t="s">
        <v>476</v>
      </c>
      <c r="I10" s="1034" t="s">
        <v>514</v>
      </c>
      <c r="J10" s="1034"/>
      <c r="K10" s="1034"/>
      <c r="L10" s="80"/>
      <c r="M10" s="86"/>
      <c r="N10" s="2" t="s">
        <v>515</v>
      </c>
      <c r="O10" s="2" t="s">
        <v>510</v>
      </c>
    </row>
    <row r="11" spans="1:15">
      <c r="A11" s="1062"/>
      <c r="B11" s="1063"/>
      <c r="C11" s="1063"/>
      <c r="E11" s="1032" t="s">
        <v>516</v>
      </c>
      <c r="F11" s="1046"/>
      <c r="G11" s="1046"/>
      <c r="H11" s="80" t="s">
        <v>476</v>
      </c>
      <c r="I11" s="1034" t="s">
        <v>517</v>
      </c>
      <c r="J11" s="1034"/>
      <c r="K11" s="1034"/>
      <c r="L11" s="80" t="s">
        <v>518</v>
      </c>
      <c r="M11" s="86"/>
      <c r="N11" s="2" t="s">
        <v>519</v>
      </c>
      <c r="O11" s="2" t="s">
        <v>510</v>
      </c>
    </row>
    <row r="12" spans="1:15">
      <c r="A12" s="1062"/>
      <c r="B12" s="1063"/>
      <c r="C12" s="1063"/>
      <c r="E12" s="1032" t="s">
        <v>520</v>
      </c>
      <c r="F12" s="1046"/>
      <c r="G12" s="1046"/>
      <c r="H12" s="80" t="s">
        <v>521</v>
      </c>
      <c r="I12" s="1034" t="s">
        <v>522</v>
      </c>
      <c r="J12" s="1034"/>
      <c r="K12" s="1034"/>
      <c r="L12" s="80" t="s">
        <v>523</v>
      </c>
      <c r="M12" s="86"/>
      <c r="N12" s="2" t="s">
        <v>524</v>
      </c>
      <c r="O12" s="2" t="s">
        <v>525</v>
      </c>
    </row>
    <row r="13" spans="1:15">
      <c r="A13" s="1062"/>
      <c r="B13" s="1063"/>
      <c r="C13" s="1063"/>
      <c r="E13" s="1032" t="s">
        <v>526</v>
      </c>
      <c r="F13" s="1046"/>
      <c r="G13" s="1046"/>
      <c r="H13" s="80" t="s">
        <v>521</v>
      </c>
      <c r="I13" s="1034" t="s">
        <v>527</v>
      </c>
      <c r="J13" s="1034"/>
      <c r="K13" s="1034"/>
      <c r="L13" s="80" t="s">
        <v>523</v>
      </c>
      <c r="M13" s="86"/>
      <c r="N13" s="2"/>
      <c r="O13" s="2"/>
    </row>
    <row r="14" spans="1:15">
      <c r="A14" s="1062"/>
      <c r="B14" s="1063"/>
      <c r="C14" s="1063"/>
      <c r="E14" s="1036"/>
      <c r="F14" s="1036"/>
      <c r="G14" s="1036"/>
      <c r="H14" s="90"/>
      <c r="I14" s="1034" t="s">
        <v>528</v>
      </c>
      <c r="J14" s="1034"/>
      <c r="K14" s="1034"/>
      <c r="L14" s="80" t="s">
        <v>529</v>
      </c>
      <c r="M14" s="86"/>
      <c r="N14" s="2"/>
      <c r="O14" s="2"/>
    </row>
    <row r="15" spans="1:15">
      <c r="A15" s="1062"/>
      <c r="B15" s="1063"/>
      <c r="C15" s="1063"/>
      <c r="E15" s="1036"/>
      <c r="F15" s="1036"/>
      <c r="G15" s="1036"/>
      <c r="H15" s="90"/>
      <c r="I15" s="1034" t="s">
        <v>530</v>
      </c>
      <c r="J15" s="1034"/>
      <c r="K15" s="1034"/>
      <c r="L15" s="80" t="s">
        <v>531</v>
      </c>
      <c r="M15" s="86"/>
      <c r="N15" s="2"/>
      <c r="O15" s="2"/>
    </row>
    <row r="16" spans="1:15">
      <c r="A16" s="1062"/>
      <c r="B16" s="1063"/>
      <c r="C16" s="1063"/>
      <c r="E16" s="1036"/>
      <c r="F16" s="1036"/>
      <c r="G16" s="1036"/>
      <c r="H16" s="90"/>
      <c r="I16" s="1034" t="s">
        <v>532</v>
      </c>
      <c r="J16" s="1034"/>
      <c r="K16" s="1034"/>
      <c r="L16" s="80" t="s">
        <v>17</v>
      </c>
      <c r="M16" s="86"/>
      <c r="N16" s="2"/>
      <c r="O16" s="2"/>
    </row>
    <row r="17" spans="1:15">
      <c r="A17" s="1062"/>
      <c r="B17" s="1063"/>
      <c r="C17" s="1063"/>
      <c r="E17" s="1036"/>
      <c r="F17" s="1036"/>
      <c r="G17" s="1036"/>
      <c r="H17" s="90"/>
      <c r="I17" s="1034" t="s">
        <v>533</v>
      </c>
      <c r="J17" s="1034"/>
      <c r="K17" s="1034"/>
      <c r="L17" s="80" t="s">
        <v>17</v>
      </c>
      <c r="M17" s="86"/>
      <c r="N17" s="2"/>
      <c r="O17" s="2"/>
    </row>
    <row r="18" spans="1:15">
      <c r="A18" s="1062"/>
      <c r="B18" s="1063"/>
      <c r="C18" s="1063"/>
      <c r="E18" s="1036"/>
      <c r="F18" s="1036"/>
      <c r="G18" s="1036"/>
      <c r="H18" s="90"/>
      <c r="I18" s="1034"/>
      <c r="J18" s="1034"/>
      <c r="K18" s="1034"/>
      <c r="L18" s="80"/>
      <c r="M18" s="86"/>
      <c r="N18" s="2"/>
      <c r="O18" s="2"/>
    </row>
    <row r="19" spans="1:15">
      <c r="A19" s="1062"/>
      <c r="B19" s="1063"/>
      <c r="C19" s="1063"/>
      <c r="E19" s="1036"/>
      <c r="F19" s="1036"/>
      <c r="G19" s="1036"/>
      <c r="H19" s="90"/>
      <c r="I19" s="1034"/>
      <c r="J19" s="1034"/>
      <c r="K19" s="1034"/>
      <c r="L19" s="80"/>
      <c r="M19" s="86"/>
      <c r="N19" s="2"/>
      <c r="O19" s="2"/>
    </row>
    <row r="20" spans="1:15">
      <c r="A20" s="1062"/>
      <c r="B20" s="1056" t="s">
        <v>534</v>
      </c>
      <c r="C20" s="1056"/>
      <c r="E20" s="83"/>
      <c r="F20" s="84"/>
      <c r="G20" s="84"/>
      <c r="H20" s="85"/>
      <c r="I20" s="1066"/>
      <c r="J20" s="1067"/>
      <c r="K20" s="1068"/>
      <c r="L20" s="81"/>
      <c r="M20" s="87"/>
      <c r="N20" s="2"/>
      <c r="O20" s="2"/>
    </row>
    <row r="21" spans="1:15">
      <c r="A21" s="1062"/>
      <c r="B21" s="1056"/>
      <c r="C21" s="1056"/>
      <c r="E21" s="83"/>
      <c r="F21" s="84"/>
      <c r="G21" s="84"/>
      <c r="H21" s="85"/>
      <c r="I21" s="1066"/>
      <c r="J21" s="1067"/>
      <c r="K21" s="1068"/>
      <c r="L21" s="81"/>
      <c r="M21" s="87"/>
      <c r="N21" s="2"/>
      <c r="O21" s="2"/>
    </row>
    <row r="22" spans="1:15">
      <c r="A22" s="1062"/>
      <c r="B22" s="1056"/>
      <c r="C22" s="1056"/>
      <c r="E22" s="83"/>
      <c r="F22" s="84"/>
      <c r="G22" s="84"/>
      <c r="H22" s="85"/>
      <c r="I22" s="1050"/>
      <c r="J22" s="1050"/>
      <c r="K22" s="1050"/>
      <c r="L22" s="81"/>
      <c r="M22" s="87"/>
      <c r="N22" s="2"/>
      <c r="O22" s="2"/>
    </row>
    <row r="23" spans="1:15" s="3" customFormat="1" ht="6" customHeight="1">
      <c r="A23" s="1037"/>
      <c r="B23" s="1037"/>
      <c r="C23" s="1037"/>
      <c r="E23" s="82"/>
      <c r="F23" s="82"/>
      <c r="G23" s="82"/>
      <c r="H23" s="82"/>
      <c r="I23" s="82"/>
      <c r="J23" s="82"/>
      <c r="K23" s="82"/>
      <c r="L23" s="82"/>
      <c r="M23" s="82"/>
      <c r="N23" s="82"/>
    </row>
    <row r="24" spans="1:15">
      <c r="A24" s="1038" t="s">
        <v>535</v>
      </c>
      <c r="B24" s="1041" t="s">
        <v>536</v>
      </c>
      <c r="C24" s="1041"/>
      <c r="D24" s="93"/>
      <c r="E24" s="94" t="s">
        <v>537</v>
      </c>
      <c r="F24" s="1055" t="s">
        <v>538</v>
      </c>
      <c r="G24" s="1055"/>
      <c r="H24" s="1055"/>
      <c r="I24" s="1055"/>
      <c r="J24" s="1028"/>
      <c r="K24" s="1028"/>
      <c r="L24" s="1028"/>
      <c r="M24" s="1028"/>
      <c r="N24" s="1028"/>
      <c r="O24" s="1028"/>
    </row>
    <row r="25" spans="1:15">
      <c r="A25" s="1039"/>
      <c r="B25" s="1032" t="s">
        <v>89</v>
      </c>
      <c r="C25" s="1033"/>
      <c r="D25" s="91"/>
      <c r="E25" s="90"/>
      <c r="F25" s="1034" t="s">
        <v>539</v>
      </c>
      <c r="G25" s="1034"/>
      <c r="H25" s="1034"/>
      <c r="I25" s="1034"/>
      <c r="J25" s="1028"/>
      <c r="K25" s="1028"/>
      <c r="L25" s="1028"/>
      <c r="M25" s="1028"/>
      <c r="N25" s="1028"/>
      <c r="O25" s="1028"/>
    </row>
    <row r="26" spans="1:15">
      <c r="A26" s="1039"/>
      <c r="B26" s="1042"/>
      <c r="C26" s="1034"/>
      <c r="D26" s="91"/>
      <c r="E26" s="90"/>
      <c r="F26" s="1036"/>
      <c r="G26" s="1036"/>
      <c r="H26" s="1036"/>
      <c r="I26" s="1036"/>
      <c r="J26" s="1028"/>
      <c r="K26" s="1028"/>
      <c r="L26" s="1028"/>
      <c r="M26" s="1028"/>
      <c r="N26" s="1028"/>
      <c r="O26" s="1028"/>
    </row>
    <row r="27" spans="1:15">
      <c r="A27" s="1039"/>
      <c r="B27" s="1042"/>
      <c r="C27" s="1034"/>
      <c r="D27" s="91"/>
      <c r="E27" s="90"/>
      <c r="F27" s="1036"/>
      <c r="G27" s="1036"/>
      <c r="H27" s="1036"/>
      <c r="I27" s="1036"/>
      <c r="J27" s="1028"/>
      <c r="K27" s="1028"/>
      <c r="L27" s="1028"/>
      <c r="M27" s="1028"/>
      <c r="N27" s="1028"/>
      <c r="O27" s="1028"/>
    </row>
    <row r="28" spans="1:15">
      <c r="A28" s="1039"/>
      <c r="B28" s="1042"/>
      <c r="C28" s="1034"/>
      <c r="D28" s="91"/>
      <c r="E28" s="90"/>
      <c r="F28" s="1036"/>
      <c r="G28" s="1036"/>
      <c r="H28" s="1036"/>
      <c r="I28" s="1036"/>
      <c r="J28" s="1028"/>
      <c r="K28" s="1028"/>
      <c r="L28" s="1028"/>
      <c r="M28" s="1028"/>
      <c r="N28" s="1028"/>
      <c r="O28" s="1028"/>
    </row>
    <row r="29" spans="1:15">
      <c r="A29" s="1039"/>
      <c r="B29" s="1042"/>
      <c r="C29" s="1034"/>
      <c r="D29" s="91"/>
      <c r="E29" s="90"/>
      <c r="F29" s="1036"/>
      <c r="G29" s="1036"/>
      <c r="H29" s="1036"/>
      <c r="I29" s="1036"/>
      <c r="J29" s="1028"/>
      <c r="K29" s="1028"/>
      <c r="L29" s="1028"/>
      <c r="M29" s="1028"/>
      <c r="N29" s="1028"/>
      <c r="O29" s="1028"/>
    </row>
    <row r="30" spans="1:15">
      <c r="A30" s="1039"/>
      <c r="B30" s="1042"/>
      <c r="C30" s="1034"/>
      <c r="D30" s="91"/>
      <c r="E30" s="90"/>
      <c r="F30" s="1036"/>
      <c r="G30" s="1036"/>
      <c r="H30" s="1036"/>
      <c r="I30" s="1036"/>
      <c r="J30" s="1028"/>
      <c r="K30" s="1028"/>
      <c r="L30" s="1028"/>
      <c r="M30" s="1028"/>
      <c r="N30" s="1028"/>
      <c r="O30" s="1028"/>
    </row>
    <row r="31" spans="1:15">
      <c r="A31" s="1039"/>
      <c r="B31" s="1042"/>
      <c r="C31" s="1034"/>
      <c r="D31" s="91"/>
      <c r="E31" s="90"/>
      <c r="F31" s="1036"/>
      <c r="G31" s="1036"/>
      <c r="H31" s="1036"/>
      <c r="I31" s="1036"/>
      <c r="J31" s="1028"/>
      <c r="K31" s="1028"/>
      <c r="L31" s="1028"/>
      <c r="M31" s="1028"/>
      <c r="N31" s="1028"/>
      <c r="O31" s="1028"/>
    </row>
    <row r="32" spans="1:15">
      <c r="A32" s="1039"/>
      <c r="B32" s="1042"/>
      <c r="C32" s="1034"/>
      <c r="D32" s="91"/>
      <c r="E32" s="90"/>
      <c r="F32" s="1036"/>
      <c r="G32" s="1036"/>
      <c r="H32" s="1036"/>
      <c r="I32" s="1036"/>
      <c r="J32" s="1028"/>
      <c r="K32" s="1028"/>
      <c r="L32" s="1028"/>
      <c r="M32" s="1028"/>
      <c r="N32" s="1028"/>
      <c r="O32" s="1028"/>
    </row>
    <row r="33" spans="1:15">
      <c r="A33" s="1039"/>
      <c r="B33" s="1042"/>
      <c r="C33" s="1034"/>
      <c r="D33" s="91"/>
      <c r="E33" s="90"/>
      <c r="F33" s="1036"/>
      <c r="G33" s="1036"/>
      <c r="H33" s="1036"/>
      <c r="I33" s="1036"/>
      <c r="J33" s="1028"/>
      <c r="K33" s="1028"/>
      <c r="L33" s="1028"/>
      <c r="M33" s="1028"/>
      <c r="N33" s="1028"/>
      <c r="O33" s="1028"/>
    </row>
    <row r="34" spans="1:15">
      <c r="A34" s="1039"/>
      <c r="B34" s="1048"/>
      <c r="C34" s="1049"/>
      <c r="D34" s="91"/>
      <c r="E34" s="90"/>
      <c r="F34" s="1036"/>
      <c r="G34" s="1036"/>
      <c r="H34" s="1036"/>
      <c r="I34" s="1036"/>
      <c r="J34" s="1028"/>
      <c r="K34" s="1028"/>
      <c r="L34" s="1028"/>
      <c r="M34" s="1028"/>
      <c r="N34" s="1028"/>
      <c r="O34" s="1028"/>
    </row>
    <row r="35" spans="1:15">
      <c r="A35" s="1039"/>
      <c r="B35" s="1034"/>
      <c r="C35" s="1034"/>
      <c r="D35" s="91"/>
      <c r="E35" s="90"/>
      <c r="F35" s="1036"/>
      <c r="G35" s="1036"/>
      <c r="H35" s="1036"/>
      <c r="I35" s="1036"/>
      <c r="J35" s="1028"/>
      <c r="K35" s="1028"/>
      <c r="L35" s="1028"/>
      <c r="M35" s="1028"/>
      <c r="N35" s="1028"/>
      <c r="O35" s="1028"/>
    </row>
    <row r="36" spans="1:15">
      <c r="A36" s="1039"/>
      <c r="B36" s="1034"/>
      <c r="C36" s="1034"/>
      <c r="D36" s="91"/>
      <c r="E36" s="90"/>
      <c r="F36" s="1036"/>
      <c r="G36" s="1036"/>
      <c r="H36" s="1036"/>
      <c r="I36" s="1036"/>
      <c r="J36" s="1028"/>
      <c r="K36" s="1028"/>
      <c r="L36" s="1028"/>
      <c r="M36" s="1028"/>
      <c r="N36" s="1028"/>
      <c r="O36" s="1028"/>
    </row>
    <row r="37" spans="1:15">
      <c r="A37" s="1039"/>
      <c r="B37" s="1034"/>
      <c r="C37" s="1034"/>
      <c r="D37" s="91"/>
      <c r="E37" s="90"/>
      <c r="F37" s="1036"/>
      <c r="G37" s="1036"/>
      <c r="H37" s="1036"/>
      <c r="I37" s="1036"/>
      <c r="J37" s="1028"/>
      <c r="K37" s="1028"/>
      <c r="L37" s="1028"/>
      <c r="M37" s="1028"/>
      <c r="N37" s="1028"/>
      <c r="O37" s="1028"/>
    </row>
    <row r="38" spans="1:15">
      <c r="A38" s="1040"/>
      <c r="B38" s="1034"/>
      <c r="C38" s="1034"/>
      <c r="D38" s="91"/>
      <c r="E38" s="90"/>
      <c r="F38" s="1036"/>
      <c r="G38" s="1036"/>
      <c r="H38" s="1036"/>
      <c r="I38" s="1036"/>
      <c r="J38" s="1028"/>
      <c r="K38" s="1028"/>
      <c r="L38" s="1028"/>
      <c r="M38" s="1028"/>
      <c r="N38" s="1028"/>
      <c r="O38" s="1028"/>
    </row>
    <row r="39" spans="1:15" ht="17.25">
      <c r="A39" s="1047" t="s">
        <v>540</v>
      </c>
      <c r="B39" s="1047"/>
      <c r="C39" s="1047"/>
      <c r="D39" s="1047"/>
      <c r="E39" s="1047"/>
      <c r="F39" s="1047"/>
      <c r="G39" s="1047"/>
      <c r="H39" s="1047"/>
      <c r="I39" s="1047"/>
      <c r="J39" s="1047"/>
      <c r="K39" s="1047"/>
      <c r="L39" s="1047"/>
      <c r="M39" s="1047"/>
      <c r="N39" s="1047"/>
      <c r="O39" s="1047"/>
    </row>
    <row r="40" spans="1:15" ht="17.25">
      <c r="A40" s="1035" t="s">
        <v>52</v>
      </c>
      <c r="B40" s="1035"/>
      <c r="C40" s="1051" t="s">
        <v>541</v>
      </c>
      <c r="D40" s="1052"/>
      <c r="E40" s="1052"/>
      <c r="F40" s="1052"/>
      <c r="G40" s="1052"/>
      <c r="H40" s="1053"/>
      <c r="I40" s="92" t="s">
        <v>542</v>
      </c>
      <c r="J40" s="1035" t="s">
        <v>543</v>
      </c>
      <c r="K40" s="1035"/>
      <c r="L40" s="1035"/>
      <c r="M40" s="1035"/>
      <c r="N40" s="1035"/>
      <c r="O40" s="1035"/>
    </row>
    <row r="41" spans="1:15">
      <c r="A41" s="1028"/>
      <c r="B41" s="1028"/>
      <c r="C41" s="1029"/>
      <c r="D41" s="1030"/>
      <c r="E41" s="1030"/>
      <c r="F41" s="1030"/>
      <c r="G41" s="1030"/>
      <c r="H41" s="1031"/>
      <c r="I41" s="2"/>
      <c r="J41" s="1028"/>
      <c r="K41" s="1028"/>
      <c r="L41" s="1028"/>
      <c r="M41" s="1028"/>
      <c r="N41" s="1028"/>
      <c r="O41" s="1028"/>
    </row>
    <row r="42" spans="1:15">
      <c r="A42" s="1028"/>
      <c r="B42" s="1028"/>
      <c r="C42" s="1029"/>
      <c r="D42" s="1030"/>
      <c r="E42" s="1030"/>
      <c r="F42" s="1030"/>
      <c r="G42" s="1030"/>
      <c r="H42" s="1031"/>
      <c r="I42" s="2"/>
      <c r="J42" s="1028"/>
      <c r="K42" s="1028"/>
      <c r="L42" s="1028"/>
      <c r="M42" s="1028"/>
      <c r="N42" s="1028"/>
      <c r="O42" s="1028"/>
    </row>
    <row r="43" spans="1:15">
      <c r="A43" s="1028"/>
      <c r="B43" s="1028"/>
      <c r="C43" s="1029"/>
      <c r="D43" s="1030"/>
      <c r="E43" s="1030"/>
      <c r="F43" s="1030"/>
      <c r="G43" s="1030"/>
      <c r="H43" s="1031"/>
      <c r="I43" s="2"/>
      <c r="J43" s="1028"/>
      <c r="K43" s="1028"/>
      <c r="L43" s="1028"/>
      <c r="M43" s="1028"/>
      <c r="N43" s="1028"/>
      <c r="O43" s="1028"/>
    </row>
    <row r="44" spans="1:15">
      <c r="A44" s="1028"/>
      <c r="B44" s="1028"/>
      <c r="C44" s="1029"/>
      <c r="D44" s="1030"/>
      <c r="E44" s="1030"/>
      <c r="F44" s="1030"/>
      <c r="G44" s="1030"/>
      <c r="H44" s="1031"/>
      <c r="I44" s="2"/>
      <c r="J44" s="1028"/>
      <c r="K44" s="1028"/>
      <c r="L44" s="1028"/>
      <c r="M44" s="1028"/>
      <c r="N44" s="1028"/>
      <c r="O44" s="1028"/>
    </row>
    <row r="45" spans="1:15">
      <c r="A45" s="1028"/>
      <c r="B45" s="1028"/>
      <c r="C45" s="1029"/>
      <c r="D45" s="1030"/>
      <c r="E45" s="1030"/>
      <c r="F45" s="1030"/>
      <c r="G45" s="1030"/>
      <c r="H45" s="1031"/>
      <c r="I45" s="2"/>
      <c r="J45" s="1028"/>
      <c r="K45" s="1028"/>
      <c r="L45" s="1028"/>
      <c r="M45" s="1028"/>
      <c r="N45" s="1028"/>
      <c r="O45" s="1028"/>
    </row>
    <row r="46" spans="1:15">
      <c r="A46" s="1028"/>
      <c r="B46" s="1028"/>
      <c r="C46" s="1029"/>
      <c r="D46" s="1030"/>
      <c r="E46" s="1030"/>
      <c r="F46" s="1030"/>
      <c r="G46" s="1030"/>
      <c r="H46" s="1031"/>
      <c r="I46" s="2"/>
      <c r="J46" s="1028"/>
      <c r="K46" s="1028"/>
      <c r="L46" s="1028"/>
      <c r="M46" s="1028"/>
      <c r="N46" s="1028"/>
      <c r="O46" s="1028"/>
    </row>
    <row r="47" spans="1:15">
      <c r="A47" s="1028"/>
      <c r="B47" s="1028"/>
      <c r="C47" s="1029"/>
      <c r="D47" s="1030"/>
      <c r="E47" s="1030"/>
      <c r="F47" s="1030"/>
      <c r="G47" s="1030"/>
      <c r="H47" s="1031"/>
      <c r="I47" s="2"/>
      <c r="J47" s="1028"/>
      <c r="K47" s="1028"/>
      <c r="L47" s="1028"/>
      <c r="M47" s="1028"/>
      <c r="N47" s="1028"/>
      <c r="O47" s="1028"/>
    </row>
    <row r="48" spans="1:15">
      <c r="A48" s="1028"/>
      <c r="B48" s="1028"/>
      <c r="C48" s="1029"/>
      <c r="D48" s="1030"/>
      <c r="E48" s="1030"/>
      <c r="F48" s="1030"/>
      <c r="G48" s="1030"/>
      <c r="H48" s="1031"/>
      <c r="I48" s="2"/>
      <c r="J48" s="1028"/>
      <c r="K48" s="1028"/>
      <c r="L48" s="1028"/>
      <c r="M48" s="1028"/>
      <c r="N48" s="1028"/>
      <c r="O48" s="1028"/>
    </row>
    <row r="49" spans="1:15">
      <c r="A49" s="1028"/>
      <c r="B49" s="1028"/>
      <c r="C49" s="1029"/>
      <c r="D49" s="1030"/>
      <c r="E49" s="1030"/>
      <c r="F49" s="1030"/>
      <c r="G49" s="1030"/>
      <c r="H49" s="1031"/>
      <c r="I49" s="2"/>
      <c r="J49" s="1028"/>
      <c r="K49" s="1028"/>
      <c r="L49" s="1028"/>
      <c r="M49" s="1028"/>
      <c r="N49" s="1028"/>
      <c r="O49" s="1028"/>
    </row>
    <row r="50" spans="1:15">
      <c r="A50" s="1028"/>
      <c r="B50" s="1028"/>
      <c r="C50" s="1029"/>
      <c r="D50" s="1030"/>
      <c r="E50" s="1030"/>
      <c r="F50" s="1030"/>
      <c r="G50" s="1030"/>
      <c r="H50" s="1031"/>
      <c r="I50" s="2"/>
      <c r="J50" s="1028"/>
      <c r="K50" s="1028"/>
      <c r="L50" s="1028"/>
      <c r="M50" s="1028"/>
      <c r="N50" s="1028"/>
      <c r="O50" s="1028"/>
    </row>
    <row r="51" spans="1:15">
      <c r="A51" s="1028"/>
      <c r="B51" s="1028"/>
      <c r="C51" s="1028"/>
      <c r="D51" s="1028"/>
      <c r="E51" s="1028"/>
      <c r="F51" s="1028"/>
      <c r="G51" s="1028"/>
      <c r="H51" s="1028"/>
      <c r="I51" s="2"/>
      <c r="J51" s="1028"/>
      <c r="K51" s="1028"/>
      <c r="L51" s="1028"/>
      <c r="M51" s="1028"/>
      <c r="N51" s="1028"/>
      <c r="O51" s="1028"/>
    </row>
    <row r="52" spans="1:15" ht="6.75" customHeight="1"/>
    <row r="53" spans="1:15" ht="17.25">
      <c r="A53" s="1043" t="s">
        <v>544</v>
      </c>
      <c r="B53" s="1044"/>
      <c r="C53" s="1044"/>
      <c r="D53" s="1044"/>
      <c r="E53" s="1044"/>
      <c r="F53" s="1044"/>
      <c r="G53" s="1044"/>
      <c r="H53" s="1045"/>
    </row>
    <row r="54" spans="1:15" ht="17.25">
      <c r="A54" s="1043" t="s">
        <v>545</v>
      </c>
      <c r="B54" s="1044"/>
      <c r="C54" s="1044"/>
      <c r="D54" s="1044"/>
      <c r="E54" s="1044"/>
      <c r="F54" s="1044"/>
      <c r="G54" s="1044"/>
      <c r="H54" s="1045"/>
    </row>
    <row r="55" spans="1:15" ht="17.25">
      <c r="A55" s="1043" t="s">
        <v>546</v>
      </c>
      <c r="B55" s="1044"/>
      <c r="C55" s="1044"/>
      <c r="D55" s="1044"/>
      <c r="E55" s="1044"/>
      <c r="F55" s="1044"/>
      <c r="G55" s="1044"/>
      <c r="H55" s="1045"/>
    </row>
    <row r="56" spans="1:15" ht="17.25">
      <c r="A56" s="1043" t="s">
        <v>547</v>
      </c>
      <c r="B56" s="1044"/>
      <c r="C56" s="1044"/>
      <c r="D56" s="1044"/>
      <c r="E56" s="1044"/>
      <c r="F56" s="1044"/>
      <c r="G56" s="1044"/>
      <c r="H56" s="1045"/>
    </row>
  </sheetData>
  <mergeCells count="112">
    <mergeCell ref="I11:K11"/>
    <mergeCell ref="I18:K18"/>
    <mergeCell ref="I19:K19"/>
    <mergeCell ref="A1:O1"/>
    <mergeCell ref="B3:G3"/>
    <mergeCell ref="E4:I4"/>
    <mergeCell ref="A6:A22"/>
    <mergeCell ref="B6:C19"/>
    <mergeCell ref="I6:L6"/>
    <mergeCell ref="E13:G13"/>
    <mergeCell ref="I16:K16"/>
    <mergeCell ref="I17:K17"/>
    <mergeCell ref="E16:G16"/>
    <mergeCell ref="N6:O6"/>
    <mergeCell ref="E7:G7"/>
    <mergeCell ref="E17:G17"/>
    <mergeCell ref="I20:K20"/>
    <mergeCell ref="I12:K12"/>
    <mergeCell ref="I13:K13"/>
    <mergeCell ref="I14:K14"/>
    <mergeCell ref="E6:H6"/>
    <mergeCell ref="I21:K21"/>
    <mergeCell ref="I15:K15"/>
    <mergeCell ref="I8:K8"/>
    <mergeCell ref="I9:K9"/>
    <mergeCell ref="I10:K10"/>
    <mergeCell ref="I7:K7"/>
    <mergeCell ref="A51:B51"/>
    <mergeCell ref="J24:O38"/>
    <mergeCell ref="B30:C30"/>
    <mergeCell ref="B31:C31"/>
    <mergeCell ref="B32:C32"/>
    <mergeCell ref="C51:H51"/>
    <mergeCell ref="A48:B48"/>
    <mergeCell ref="F31:I31"/>
    <mergeCell ref="F32:I32"/>
    <mergeCell ref="B29:C29"/>
    <mergeCell ref="F29:I29"/>
    <mergeCell ref="F26:I26"/>
    <mergeCell ref="B26:C26"/>
    <mergeCell ref="F24:I24"/>
    <mergeCell ref="F38:I38"/>
    <mergeCell ref="A49:B49"/>
    <mergeCell ref="A50:B50"/>
    <mergeCell ref="F25:I25"/>
    <mergeCell ref="F35:I35"/>
    <mergeCell ref="A45:B45"/>
    <mergeCell ref="B20:C22"/>
    <mergeCell ref="A56:H56"/>
    <mergeCell ref="E8:G8"/>
    <mergeCell ref="E9:G9"/>
    <mergeCell ref="E10:G10"/>
    <mergeCell ref="E11:G11"/>
    <mergeCell ref="E12:G12"/>
    <mergeCell ref="E15:G15"/>
    <mergeCell ref="C46:H46"/>
    <mergeCell ref="A39:O39"/>
    <mergeCell ref="E14:G14"/>
    <mergeCell ref="A55:H55"/>
    <mergeCell ref="A53:H53"/>
    <mergeCell ref="A54:H54"/>
    <mergeCell ref="B34:C34"/>
    <mergeCell ref="F34:I34"/>
    <mergeCell ref="C50:H50"/>
    <mergeCell ref="B37:C37"/>
    <mergeCell ref="C48:H48"/>
    <mergeCell ref="A47:B47"/>
    <mergeCell ref="I22:K22"/>
    <mergeCell ref="C41:H41"/>
    <mergeCell ref="A41:B41"/>
    <mergeCell ref="J40:O40"/>
    <mergeCell ref="C40:H40"/>
    <mergeCell ref="E18:G18"/>
    <mergeCell ref="F30:I30"/>
    <mergeCell ref="A23:C23"/>
    <mergeCell ref="A24:A38"/>
    <mergeCell ref="B24:C24"/>
    <mergeCell ref="F33:I33"/>
    <mergeCell ref="B36:C36"/>
    <mergeCell ref="F37:I37"/>
    <mergeCell ref="F36:I36"/>
    <mergeCell ref="B35:C35"/>
    <mergeCell ref="E19:G19"/>
    <mergeCell ref="F27:I27"/>
    <mergeCell ref="B28:C28"/>
    <mergeCell ref="F28:I28"/>
    <mergeCell ref="B27:C27"/>
    <mergeCell ref="B33:C33"/>
    <mergeCell ref="J43:O43"/>
    <mergeCell ref="C42:H42"/>
    <mergeCell ref="A42:B42"/>
    <mergeCell ref="A43:B43"/>
    <mergeCell ref="A44:B44"/>
    <mergeCell ref="C45:H45"/>
    <mergeCell ref="B25:C25"/>
    <mergeCell ref="B38:C38"/>
    <mergeCell ref="J51:O51"/>
    <mergeCell ref="A40:B40"/>
    <mergeCell ref="J48:O48"/>
    <mergeCell ref="J49:O49"/>
    <mergeCell ref="C47:H47"/>
    <mergeCell ref="J41:O41"/>
    <mergeCell ref="J42:O42"/>
    <mergeCell ref="C49:H49"/>
    <mergeCell ref="A46:B46"/>
    <mergeCell ref="J47:O47"/>
    <mergeCell ref="J46:O46"/>
    <mergeCell ref="C43:H43"/>
    <mergeCell ref="J50:O50"/>
    <mergeCell ref="J44:O44"/>
    <mergeCell ref="J45:O45"/>
    <mergeCell ref="C44:H44"/>
  </mergeCells>
  <pageMargins left="0.7" right="0.7" top="0.75" bottom="0.75" header="0.3" footer="0.3"/>
  <pageSetup scale="7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8C56C4BB8EA74CA6918C3A7A41DD17" ma:contentTypeVersion="14" ma:contentTypeDescription="Create a new document." ma:contentTypeScope="" ma:versionID="1ca4cf59e170db1b93d26ea8cb5f6bcd">
  <xsd:schema xmlns:xsd="http://www.w3.org/2001/XMLSchema" xmlns:xs="http://www.w3.org/2001/XMLSchema" xmlns:p="http://schemas.microsoft.com/office/2006/metadata/properties" xmlns:ns3="477d76a3-aa2a-4606-a4dc-390bd6fb075d" targetNamespace="http://schemas.microsoft.com/office/2006/metadata/properties" ma:root="true" ma:fieldsID="7ac25e3cd56cddea24358780e819ff03" ns3:_="">
    <xsd:import namespace="477d76a3-aa2a-4606-a4dc-390bd6fb075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7d76a3-aa2a-4606-a4dc-390bd6fb07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77d76a3-aa2a-4606-a4dc-390bd6fb075d" xsi:nil="true"/>
  </documentManagement>
</p:properties>
</file>

<file path=customXml/itemProps1.xml><?xml version="1.0" encoding="utf-8"?>
<ds:datastoreItem xmlns:ds="http://schemas.openxmlformats.org/officeDocument/2006/customXml" ds:itemID="{F0F982BE-FD97-449A-B40F-9DAC481545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7d76a3-aa2a-4606-a4dc-390bd6fb07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535F5CE-277F-4F1F-81BE-F3432A3AD0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0BAAB8E-8608-4A33-9997-5F65EB5CDD69}">
  <ds:schemaRefs>
    <ds:schemaRef ds:uri="http://www.w3.org/XML/1998/namespace"/>
    <ds:schemaRef ds:uri="http://schemas.openxmlformats.org/package/2006/metadata/core-properties"/>
    <ds:schemaRef ds:uri="477d76a3-aa2a-4606-a4dc-390bd6fb075d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47</vt:i4>
      </vt:variant>
      <vt:variant>
        <vt:lpstr>Named Ranges</vt:lpstr>
      </vt:variant>
      <vt:variant>
        <vt:i4>10</vt:i4>
      </vt:variant>
    </vt:vector>
  </HeadingPairs>
  <TitlesOfParts>
    <vt:vector size="57" baseType="lpstr">
      <vt:lpstr>RELIABILITY SNAP SHOT</vt:lpstr>
      <vt:lpstr>EXECUTIVE SUMMARY1</vt:lpstr>
      <vt:lpstr>EXECUTIVE SUMMARY</vt:lpstr>
      <vt:lpstr>AVAILABILITY SNAP SHOT </vt:lpstr>
      <vt:lpstr>AVAILABILITY DASHBOARD</vt:lpstr>
      <vt:lpstr>Sheet31</vt:lpstr>
      <vt:lpstr>Sheet30</vt:lpstr>
      <vt:lpstr>Sheet1</vt:lpstr>
      <vt:lpstr>Sheet21</vt:lpstr>
      <vt:lpstr>Sheet22</vt:lpstr>
      <vt:lpstr>Sheet23</vt:lpstr>
      <vt:lpstr>Sheet24</vt:lpstr>
      <vt:lpstr>Sheet25</vt:lpstr>
      <vt:lpstr>Sheet26</vt:lpstr>
      <vt:lpstr>Sheet19</vt:lpstr>
      <vt:lpstr>Sheet20</vt:lpstr>
      <vt:lpstr>Sheet14</vt:lpstr>
      <vt:lpstr>Sheet6</vt:lpstr>
      <vt:lpstr>Sheet15</vt:lpstr>
      <vt:lpstr>Sheet4</vt:lpstr>
      <vt:lpstr>Sheet13</vt:lpstr>
      <vt:lpstr>Sheet11</vt:lpstr>
      <vt:lpstr>Sheet9</vt:lpstr>
      <vt:lpstr>Sheet2</vt:lpstr>
      <vt:lpstr>Sheet29</vt:lpstr>
      <vt:lpstr>Sheet3</vt:lpstr>
      <vt:lpstr>Sheet32</vt:lpstr>
      <vt:lpstr>Sheet28</vt:lpstr>
      <vt:lpstr>Sheet16</vt:lpstr>
      <vt:lpstr>Sheet10</vt:lpstr>
      <vt:lpstr>Sheet7</vt:lpstr>
      <vt:lpstr>Sheet8</vt:lpstr>
      <vt:lpstr>Sheet17</vt:lpstr>
      <vt:lpstr>Sheet12</vt:lpstr>
      <vt:lpstr>STS RMG FAULTS</vt:lpstr>
      <vt:lpstr>RTG&amp;HARBOUR FAULTS</vt:lpstr>
      <vt:lpstr>CONTAINER HANDLERS FAULTS</vt:lpstr>
      <vt:lpstr>TERMINAL TRACTORS</vt:lpstr>
      <vt:lpstr>BERTH OCCUPANCY</vt:lpstr>
      <vt:lpstr>OTHER REPORTS</vt:lpstr>
      <vt:lpstr>Sheet34</vt:lpstr>
      <vt:lpstr>DAILY MORNING BRIEFING</vt:lpstr>
      <vt:lpstr>Sheet33</vt:lpstr>
      <vt:lpstr>Sheet27</vt:lpstr>
      <vt:lpstr>Sheet18</vt:lpstr>
      <vt:lpstr>Sheet5</vt:lpstr>
      <vt:lpstr>SHIFT HANDOVER</vt:lpstr>
      <vt:lpstr>AA</vt:lpstr>
      <vt:lpstr>'AVAILABILITY DASHBOARD'!Print_Area</vt:lpstr>
      <vt:lpstr>'AVAILABILITY SNAP SHOT '!Print_Area</vt:lpstr>
      <vt:lpstr>'OTHER REPORTS'!Print_Area</vt:lpstr>
      <vt:lpstr>'RELIABILITY SNAP SHOT'!Print_Area</vt:lpstr>
      <vt:lpstr>'RTG&amp;HARBOUR FAULTS'!Print_Area</vt:lpstr>
      <vt:lpstr>'STS RMG FAULTS'!Print_Area</vt:lpstr>
      <vt:lpstr>'TERMINAL TRACTORS'!Print_Area</vt:lpstr>
      <vt:lpstr>'RTG&amp;HARBOUR FAULTS'!Print_Titles</vt:lpstr>
      <vt:lpstr>'TERMINAL TRACTORS'!Print_Titles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Mark C. Ochieng'</dc:creator>
  <cp:keywords/>
  <dc:description/>
  <cp:lastModifiedBy>DYCOH</cp:lastModifiedBy>
  <cp:revision/>
  <dcterms:created xsi:type="dcterms:W3CDTF">2014-10-13T05:05:38Z</dcterms:created>
  <dcterms:modified xsi:type="dcterms:W3CDTF">2025-11-07T20:47:43Z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0x010100518C56C4BB8EA74CA6918C3A7A41DD17</vt:lpwstr>
  </property>
</Properties>
</file>